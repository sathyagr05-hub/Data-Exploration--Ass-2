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151070A-BE13-4B9A-BCE6-CC6564DEAE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2" r:id="rId1"/>
    <sheet name="Correcting Inconsistent Data" sheetId="3" r:id="rId2"/>
    <sheet name="Removing Duplicates" sheetId="5" r:id="rId3"/>
    <sheet name="Splitting and Merging Data" sheetId="6" r:id="rId4"/>
    <sheet name="Number Formatting" sheetId="7" r:id="rId5"/>
    <sheet name="Conditional Formatting" sheetId="8" r:id="rId6"/>
  </sheets>
  <definedNames>
    <definedName name="_xlnm._FilterDatabase" localSheetId="0" hidden="1">'Cleaned Data'!$A$1:$H$35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2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2" i="6"/>
  <c r="H2" i="3" a="1"/>
  <c r="G2" i="3" a="1"/>
  <c r="K7" i="2"/>
  <c r="K16" i="2"/>
  <c r="H2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<sst xmlns="http://schemas.openxmlformats.org/spreadsheetml/2006/main" count="833" uniqueCount="165">
  <si>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</si>
  <si>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</si>
  <si>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</si>
  <si>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</si>
  <si>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</si>
  <si>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</si>
  <si>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</si>
  <si>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</si>
  <si>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</si>
  <si>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</si>
  <si>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</si>
  <si>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</si>
  <si>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</si>
  <si>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</si>
  <si>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</si>
  <si>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</si>
  <si>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</si>
  <si>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</si>
  <si>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</si>
  <si>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</si>
  <si>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</si>
  <si>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</si>
  <si>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</si>
  <si>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</si>
  <si>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</si>
  <si>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</si>
  <si>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</si>
  <si>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</si>
  <si>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</si>
  <si>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</si>
  <si>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</si>
  <si>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</si>
  <si>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</si>
  <si>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</si>
  <si>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</si>
  <si>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</si>
  <si>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</si>
  <si>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</si>
  <si>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</si>
  <si>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</si>
  <si>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</si>
  <si>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</si>
  <si>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</si>
  <si>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</si>
  <si>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</si>
  <si>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</si>
  <si>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</si>
  <si>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</si>
  <si>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</si>
  <si>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</si>
  <si>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</si>
  <si>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</si>
  <si>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</si>
  <si>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</si>
  <si>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</si>
  <si>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</si>
  <si>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</si>
  <si>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</si>
  <si>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</si>
  <si>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</si>
  <si>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</si>
  <si>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</si>
  <si>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</si>
  <si>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</si>
  <si>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</si>
  <si>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</si>
  <si>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</si>
  <si>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</si>
  <si>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</si>
  <si>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</si>
  <si>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</si>
  <si>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</si>
  <si>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</si>
  <si>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</si>
  <si>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</si>
  <si>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</si>
  <si>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</si>
  <si>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</si>
  <si>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</si>
  <si>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</si>
  <si>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</si>
  <si>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</si>
  <si>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</si>
  <si>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</si>
  <si>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</si>
  <si>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</si>
  <si>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</si>
  <si>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</si>
  <si>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</si>
  <si>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</si>
  <si>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</si>
  <si>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</si>
  <si>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</si>
  <si>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</si>
  <si>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</si>
  <si>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</si>
  <si>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</si>
  <si>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r>
      <t>1.</t>
    </r>
    <r>
      <rPr>
        <b/>
        <sz val="7"/>
        <color rgb="FF000000"/>
        <rFont val="Times New Roman"/>
        <family val="1"/>
      </rPr>
      <t xml:space="preserve">  </t>
    </r>
    <r>
      <rPr>
        <b/>
        <sz val="12"/>
        <color rgb="FF000000"/>
        <rFont val="Calibri"/>
        <family val="2"/>
      </rPr>
      <t xml:space="preserve">Handling Missing Values:   </t>
    </r>
  </si>
  <si>
    <t>PRICE IMPUTATION</t>
  </si>
  <si>
    <t>CATEGORY IMPUTATION</t>
  </si>
  <si>
    <t>IF(ISBLANK(D2),AVERAGE($D$2:$D$32),D2)</t>
  </si>
  <si>
    <t>FORMULA</t>
  </si>
  <si>
    <t>ANSWER</t>
  </si>
  <si>
    <t>COUNTBLANK(D2:D35)</t>
  </si>
  <si>
    <t>IF(ISBLANK(F2),"Unknown",F2)</t>
  </si>
  <si>
    <t xml:space="preserve">●Check for missing values in the 'Price' column. How would you handle products with missing price information?   </t>
  </si>
  <si>
    <r>
      <t>●</t>
    </r>
    <r>
      <rPr>
        <sz val="12"/>
        <color rgb="FF000000"/>
        <rFont val="Calibri"/>
        <family val="2"/>
      </rPr>
      <t xml:space="preserve">If there are products with missing categories, propose a strategy to impute or deal with these missing values effectively.   </t>
    </r>
  </si>
  <si>
    <t>PRICE IMPUTATION FORMULA</t>
  </si>
  <si>
    <t>CATEGORY IMPUTATION FORMULA</t>
  </si>
  <si>
    <t>If we have millions of data that time we cannot be check a single data which category  so that phace we can put it an unknown.</t>
  </si>
  <si>
    <r>
      <t>●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libri"/>
        <family val="2"/>
      </rPr>
      <t xml:space="preserve">Identify any inconsistent text formats present in the "Product Name" column.   </t>
    </r>
  </si>
  <si>
    <r>
      <t>●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libri"/>
        <family val="2"/>
      </rPr>
      <t xml:space="preserve">Identify any typos present in the "Category" column.   </t>
    </r>
  </si>
  <si>
    <r>
      <t>●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libri"/>
        <family val="2"/>
      </rPr>
      <t>Use the find and replace function to standardize the text formats in the "Product Name" column and fix any typos or misspellings in the "Category" column.</t>
    </r>
  </si>
  <si>
    <t xml:space="preserve"> PROPER(B2:B32)</t>
  </si>
  <si>
    <t>TRIM(F2:F32)</t>
  </si>
  <si>
    <t xml:space="preserve">short cut </t>
  </si>
  <si>
    <t>ctrl+H</t>
  </si>
  <si>
    <r>
      <t>2.</t>
    </r>
    <r>
      <rPr>
        <b/>
        <sz val="7"/>
        <color rgb="FF000000"/>
        <rFont val="Times New Roman"/>
        <family val="1"/>
      </rPr>
      <t xml:space="preserve"> </t>
    </r>
    <r>
      <rPr>
        <b/>
        <sz val="12"/>
        <color rgb="FF000000"/>
        <rFont val="Calibri"/>
        <family val="2"/>
      </rPr>
      <t xml:space="preserve">Correcting Inconsistent Data:   </t>
    </r>
  </si>
  <si>
    <t>3. Removing Duplicates:</t>
  </si>
  <si>
    <t>BRIEF EXPLANATION</t>
  </si>
  <si>
    <t>To remove duplicate records from the dataset,</t>
  </si>
  <si>
    <t xml:space="preserve">select the entire data range and go to the Data tab in Excel. Click Remove Duplicates, </t>
  </si>
  <si>
    <t xml:space="preserve">then select all columns that should be checked for duplicate values. Click OK, </t>
  </si>
  <si>
    <t xml:space="preserve">and Excel will automatically identify and remove any duplicate rows while keeping only the first occurrence. </t>
  </si>
  <si>
    <t>This helps improve data accuracy and ensures that each record is unique.</t>
  </si>
  <si>
    <t>Steps to Remove Duplicate Records in Excel</t>
  </si>
  <si>
    <t>1. Select the entire dataset.</t>
  </si>
  <si>
    <r>
      <t xml:space="preserve">2. Go to </t>
    </r>
    <r>
      <rPr>
        <b/>
        <sz val="12"/>
        <color rgb="FF000000"/>
        <rFont val="Calibri"/>
        <family val="2"/>
      </rPr>
      <t>Data → Remove Duplicates</t>
    </r>
    <r>
      <rPr>
        <sz val="12"/>
        <color rgb="FF000000"/>
        <rFont val="Calibri"/>
        <family val="2"/>
      </rPr>
      <t>.</t>
    </r>
  </si>
  <si>
    <r>
      <t xml:space="preserve">3. Select </t>
    </r>
    <r>
      <rPr>
        <b/>
        <sz val="12"/>
        <color rgb="FF000000"/>
        <rFont val="Calibri"/>
        <family val="2"/>
      </rPr>
      <t>all columns</t>
    </r>
    <r>
      <rPr>
        <sz val="12"/>
        <color rgb="FF000000"/>
        <rFont val="Calibri"/>
        <family val="2"/>
      </rPr>
      <t xml:space="preserve"> to check the complete row for duplicates.</t>
    </r>
  </si>
  <si>
    <r>
      <t xml:space="preserve">4. Click </t>
    </r>
    <r>
      <rPr>
        <b/>
        <sz val="12"/>
        <color rgb="FF000000"/>
        <rFont val="Calibri"/>
        <family val="2"/>
      </rPr>
      <t>OK</t>
    </r>
    <r>
      <rPr>
        <sz val="12"/>
        <color rgb="FF000000"/>
        <rFont val="Calibri"/>
        <family val="2"/>
      </rPr>
      <t>.</t>
    </r>
  </si>
  <si>
    <r>
      <t xml:space="preserve">5. Excel will identify and remove duplicate rows while keeping the </t>
    </r>
    <r>
      <rPr>
        <b/>
        <sz val="12"/>
        <color rgb="FF000000"/>
        <rFont val="Calibri"/>
        <family val="2"/>
      </rPr>
      <t>first occurrence</t>
    </r>
    <r>
      <rPr>
        <sz val="12"/>
        <color rgb="FF000000"/>
        <rFont val="Calibri"/>
        <family val="2"/>
      </rPr>
      <t>.</t>
    </r>
  </si>
  <si>
    <r>
      <t xml:space="preserve">6. Excel will display the </t>
    </r>
    <r>
      <rPr>
        <b/>
        <sz val="12"/>
        <color rgb="FF000000"/>
        <rFont val="Calibri"/>
        <family val="2"/>
      </rPr>
      <t>number of duplicate records removed</t>
    </r>
    <r>
      <rPr>
        <sz val="12"/>
        <color rgb="FF000000"/>
        <rFont val="Calibri"/>
        <family val="2"/>
      </rPr>
      <t>.</t>
    </r>
  </si>
  <si>
    <t>4. Splitting and Merging Data</t>
  </si>
  <si>
    <t xml:space="preserve"> Manufacturing Date</t>
  </si>
  <si>
    <t xml:space="preserve">●  Split the "Product ID" column into two separate columns for " Manufacturing Date" and "Country Code". Remove unnecessary characters, if any.   </t>
  </si>
  <si>
    <t>Country Code</t>
  </si>
  <si>
    <t>Product Brand</t>
  </si>
  <si>
    <t>● Merge the "Brand Name" and "Product Name" columns into one column named Product Brand.</t>
  </si>
  <si>
    <t xml:space="preserve">MANUFACTURE DATE </t>
  </si>
  <si>
    <t xml:space="preserve"> Manufacturing Date Formula</t>
  </si>
  <si>
    <t>LEFT(A2,6)</t>
  </si>
  <si>
    <t>Country Code Formula</t>
  </si>
  <si>
    <t>RIGHT(A2,2)</t>
  </si>
  <si>
    <t>Product Brand Formula</t>
  </si>
  <si>
    <t>CONCAT(C2,B2)</t>
  </si>
  <si>
    <r>
      <t>●</t>
    </r>
    <r>
      <rPr>
        <sz val="7"/>
        <color rgb="FF000000"/>
        <rFont val="Calibri"/>
        <family val="2"/>
      </rPr>
      <t xml:space="preserve">  </t>
    </r>
    <r>
      <rPr>
        <sz val="12"/>
        <color rgb="FF000000"/>
        <rFont val="Calibri"/>
        <family val="2"/>
      </rPr>
      <t xml:space="preserve">Identify any duplicate rows within the dataset based on the entirety of each row, and remove them if any.   </t>
    </r>
  </si>
  <si>
    <t>5. Number Formatting:</t>
  </si>
  <si>
    <t>● Format the data type of the "Price" column to a currency format.</t>
  </si>
  <si>
    <t>Steps</t>
  </si>
  <si>
    <t xml:space="preserve">select the price column </t>
  </si>
  <si>
    <t xml:space="preserve">Go to home tab </t>
  </si>
  <si>
    <t>Number bar heres the currency click.</t>
  </si>
  <si>
    <t>Manufacturing date</t>
  </si>
  <si>
    <t xml:space="preserve">Manufacturing date-DD-MM-YYYY </t>
  </si>
  <si>
    <t>TEXT(K2,"DD-MM-YYYY")</t>
  </si>
  <si>
    <t>year should not given yet so excel considerd at current year</t>
  </si>
  <si>
    <t xml:space="preserve">●  Format the "Manufacturing Date" column to display dates in the "DD-MM-YYYY " format.   </t>
  </si>
  <si>
    <t>6. Conditional Formatting:</t>
  </si>
  <si>
    <t>● Apply data bar or color scales conditional formatting in the "Price" column. ● Create a</t>
  </si>
  <si>
    <t>custom rule for conditional formatting in the "Category" column to highlight cells where</t>
  </si>
  <si>
    <t>the category is "Electronics."</t>
  </si>
  <si>
    <t>Explanation</t>
  </si>
  <si>
    <t xml:space="preserve">Conditional formatting can help make patterns and trends in your data more apparent. To use it, </t>
  </si>
  <si>
    <t xml:space="preserve">you create rules that determine the format of cells based on their values, such as the following </t>
  </si>
  <si>
    <t>category data with cell colours tied to cell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</si>
</sst>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"/>
    <numFmt numFmtId="165" formatCode="dd\-mm\-yyyy"/>
  </numFmts>
  <fonts count="16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7"/>
      <color rgb="FF000000"/>
      <name val="Times New Roman"/>
      <family val="1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rgb="FF000000"/>
      <name val="Arial"/>
      <family val="2"/>
      <scheme val="minor"/>
    </font>
    <font>
      <sz val="7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DD0E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justify" vertical="center"/>
    </xf>
    <xf numFmtId="0" fontId="9" fillId="0" borderId="0" xfId="0" applyFont="1" applyAlignment="1">
      <alignment horizontal="left" vertical="center" indent="7"/>
    </xf>
    <xf numFmtId="0" fontId="6" fillId="0" borderId="0" xfId="0" applyFont="1" applyAlignment="1">
      <alignment horizontal="left" vertical="center" indent="7"/>
    </xf>
    <xf numFmtId="0" fontId="3" fillId="6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0" borderId="0" xfId="0" applyFont="1"/>
    <xf numFmtId="0" fontId="11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6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8"/>
    </xf>
    <xf numFmtId="49" fontId="3" fillId="6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49" fontId="3" fillId="0" borderId="0" xfId="0" applyNumberFormat="1" applyFont="1" applyAlignment="1">
      <alignment horizontal="center" vertical="center"/>
    </xf>
    <xf numFmtId="0" fontId="6" fillId="7" borderId="0" xfId="0" applyFont="1" applyFill="1"/>
    <xf numFmtId="0" fontId="6" fillId="0" borderId="0" xfId="0" applyFont="1" applyAlignment="1">
      <alignment horizontal="left" vertical="center"/>
    </xf>
    <xf numFmtId="164" fontId="3" fillId="6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0" fillId="0" borderId="0" xfId="0" applyNumberFormat="1"/>
    <xf numFmtId="165" fontId="5" fillId="5" borderId="0" xfId="0" applyNumberFormat="1" applyFont="1" applyFill="1"/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6" fillId="5" borderId="0" xfId="0" applyFont="1" applyFill="1" applyAlignment="1">
      <alignment horizontal="center" vertic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topLeftCell="C1" zoomScaleNormal="100" workbookViewId="0">
      <selection activeCell="J9" sqref="J9"/>
    </sheetView>
  </sheetViews>
  <sheetFormatPr defaultColWidth="12.6640625" defaultRowHeight="15" customHeight="1"/>
  <cols>
    <col min="1" max="3" width="12.6640625" customWidth="1"/>
    <col min="4" max="4" width="8.6640625" bestFit="1" customWidth="1"/>
    <col min="5" max="6" width="12.6640625" customWidth="1"/>
    <col min="7" max="7" width="18.109375" style="13" bestFit="1" customWidth="1"/>
    <col min="8" max="8" width="22.5546875" bestFit="1" customWidth="1"/>
    <col min="10" max="10" width="33.5546875" customWidth="1"/>
    <col min="11" max="11" width="43.21875" customWidth="1"/>
  </cols>
  <sheetData>
    <row r="1" spans="1:16" ht="15.75" customHeight="1">
      <c r="A1" s="1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0" t="s">
        <v>98</v>
      </c>
      <c r="H1" s="10" t="s">
        <v>99</v>
      </c>
    </row>
    <row r="2" spans="1:16" ht="15.75" customHeight="1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  <c r="G2" s="11">
        <f t="shared" ref="G2:G32" si="0">IF(ISBLANK(D2),AVERAGE($D$2:$D$32),D2)</f>
        <v>1000</v>
      </c>
      <c r="H2" s="14" t="str">
        <f t="shared" ref="H2:H32" si="1">IF(ISBLANK(F2),"Unknown",F2)</f>
        <v>Electronics</v>
      </c>
      <c r="J2" s="19" t="s">
        <v>97</v>
      </c>
    </row>
    <row r="3" spans="1:16" ht="15.75" customHeight="1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5" t="s">
        <v>13</v>
      </c>
      <c r="G3" s="11">
        <f t="shared" si="0"/>
        <v>80</v>
      </c>
      <c r="H3" s="14" t="str">
        <f t="shared" si="1"/>
        <v>Fashion</v>
      </c>
      <c r="I3" s="2"/>
      <c r="K3" s="1"/>
      <c r="L3" s="1"/>
      <c r="M3" s="1"/>
      <c r="N3" s="1"/>
      <c r="O3" s="1"/>
      <c r="P3" s="1"/>
    </row>
    <row r="4" spans="1:16" ht="15.75" customHeight="1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  <c r="G4" s="11">
        <f t="shared" si="0"/>
        <v>130</v>
      </c>
      <c r="H4" s="14" t="str">
        <f t="shared" si="1"/>
        <v>Kitchen</v>
      </c>
      <c r="I4" s="1"/>
      <c r="J4" s="20" t="s">
        <v>105</v>
      </c>
      <c r="K4" s="1"/>
      <c r="L4" s="1"/>
      <c r="M4" s="1"/>
      <c r="N4" s="1"/>
      <c r="O4" s="1"/>
      <c r="P4" s="1"/>
    </row>
    <row r="5" spans="1:16" ht="15.75" customHeight="1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5" t="s">
        <v>9</v>
      </c>
      <c r="G5" s="11">
        <f t="shared" si="0"/>
        <v>900</v>
      </c>
      <c r="H5" s="14" t="str">
        <f t="shared" si="1"/>
        <v>Electronics</v>
      </c>
      <c r="I5" s="1"/>
      <c r="L5" s="1"/>
      <c r="M5" s="1"/>
      <c r="N5" s="1"/>
      <c r="O5" s="1"/>
      <c r="P5" s="1"/>
    </row>
    <row r="6" spans="1:16" ht="15.75" customHeight="1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4"/>
      <c r="G6" s="11">
        <f t="shared" si="0"/>
        <v>70</v>
      </c>
      <c r="H6" s="15" t="str">
        <f t="shared" si="1"/>
        <v>Unknown</v>
      </c>
      <c r="J6" s="51" t="s">
        <v>101</v>
      </c>
      <c r="K6" s="18" t="s">
        <v>103</v>
      </c>
      <c r="L6" s="13"/>
    </row>
    <row r="7" spans="1:16" ht="15.75" customHeight="1">
      <c r="A7" s="5" t="s">
        <v>24</v>
      </c>
      <c r="B7" s="5" t="s">
        <v>25</v>
      </c>
      <c r="C7" s="5" t="s">
        <v>26</v>
      </c>
      <c r="D7" s="5"/>
      <c r="E7" s="5">
        <v>45</v>
      </c>
      <c r="F7" s="5" t="s">
        <v>27</v>
      </c>
      <c r="G7" s="12">
        <f t="shared" si="0"/>
        <v>297.85714285714283</v>
      </c>
      <c r="H7" s="14" t="str">
        <f t="shared" si="1"/>
        <v>Electroni</v>
      </c>
      <c r="J7" s="18" t="s">
        <v>102</v>
      </c>
      <c r="K7" s="18">
        <f>COUNTBLANK(D2:D32)</f>
        <v>3</v>
      </c>
      <c r="L7" s="13"/>
    </row>
    <row r="8" spans="1:16" ht="15.75" customHeight="1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4" t="s">
        <v>13</v>
      </c>
      <c r="G8" s="11">
        <f t="shared" si="0"/>
        <v>30</v>
      </c>
      <c r="H8" s="14" t="str">
        <f t="shared" si="1"/>
        <v>Fashion</v>
      </c>
      <c r="J8" s="51" t="s">
        <v>107</v>
      </c>
      <c r="K8" s="18" t="s">
        <v>100</v>
      </c>
      <c r="L8" s="13"/>
    </row>
    <row r="9" spans="1:16" ht="15.75" customHeight="1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5" t="s">
        <v>17</v>
      </c>
      <c r="G9" s="11">
        <f t="shared" si="0"/>
        <v>90</v>
      </c>
      <c r="H9" s="14" t="str">
        <f t="shared" si="1"/>
        <v>Kitchen</v>
      </c>
      <c r="J9" s="20"/>
      <c r="K9" s="9"/>
    </row>
    <row r="10" spans="1:16" ht="15.75" customHeight="1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4" t="s">
        <v>9</v>
      </c>
      <c r="G10" s="11">
        <f t="shared" si="0"/>
        <v>500</v>
      </c>
      <c r="H10" s="14" t="str">
        <f t="shared" si="1"/>
        <v>Electronics</v>
      </c>
      <c r="J10" s="20"/>
      <c r="K10" s="9"/>
    </row>
    <row r="11" spans="1:16" ht="15.75" customHeight="1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5" t="s">
        <v>40</v>
      </c>
      <c r="G11" s="11">
        <f t="shared" si="0"/>
        <v>130</v>
      </c>
      <c r="H11" s="14" t="str">
        <f t="shared" si="1"/>
        <v>Outdoor</v>
      </c>
      <c r="J11" s="20"/>
      <c r="K11" s="9"/>
    </row>
    <row r="12" spans="1:16" ht="15.75" customHeight="1">
      <c r="A12" s="4" t="s">
        <v>41</v>
      </c>
      <c r="B12" s="4" t="s">
        <v>42</v>
      </c>
      <c r="C12" s="4" t="s">
        <v>43</v>
      </c>
      <c r="D12" s="4">
        <v>950</v>
      </c>
      <c r="E12" s="4">
        <v>25</v>
      </c>
      <c r="F12" s="4" t="s">
        <v>9</v>
      </c>
      <c r="G12" s="11">
        <f t="shared" si="0"/>
        <v>950</v>
      </c>
      <c r="H12" s="14" t="str">
        <f t="shared" si="1"/>
        <v>Electronics</v>
      </c>
      <c r="J12" s="20"/>
      <c r="K12" s="9"/>
    </row>
    <row r="13" spans="1:16" ht="15.75" customHeight="1">
      <c r="A13" s="5" t="s">
        <v>44</v>
      </c>
      <c r="B13" s="5" t="s">
        <v>11</v>
      </c>
      <c r="C13" s="5" t="s">
        <v>30</v>
      </c>
      <c r="D13" s="5">
        <v>90</v>
      </c>
      <c r="E13" s="5">
        <v>40</v>
      </c>
      <c r="F13" s="5"/>
      <c r="G13" s="11">
        <f t="shared" si="0"/>
        <v>90</v>
      </c>
      <c r="H13" s="15" t="str">
        <f t="shared" si="1"/>
        <v>Unknown</v>
      </c>
      <c r="J13" s="20" t="s">
        <v>106</v>
      </c>
      <c r="K13" s="9"/>
    </row>
    <row r="14" spans="1:16" ht="15.75" customHeight="1">
      <c r="A14" s="4" t="s">
        <v>45</v>
      </c>
      <c r="B14" s="4" t="s">
        <v>15</v>
      </c>
      <c r="C14" s="4" t="s">
        <v>46</v>
      </c>
      <c r="D14" s="4">
        <v>120</v>
      </c>
      <c r="E14" s="4">
        <v>35</v>
      </c>
      <c r="F14" s="4"/>
      <c r="G14" s="11">
        <f t="shared" si="0"/>
        <v>120</v>
      </c>
      <c r="H14" s="15" t="str">
        <f t="shared" si="1"/>
        <v>Unknown</v>
      </c>
      <c r="J14" s="20"/>
      <c r="K14" s="9"/>
    </row>
    <row r="15" spans="1:16" ht="15.75" customHeight="1">
      <c r="A15" s="5" t="s">
        <v>47</v>
      </c>
      <c r="B15" s="5" t="s">
        <v>48</v>
      </c>
      <c r="C15" s="5" t="s">
        <v>49</v>
      </c>
      <c r="D15" s="5">
        <v>150</v>
      </c>
      <c r="E15" s="5">
        <v>15</v>
      </c>
      <c r="F15" s="5" t="s">
        <v>27</v>
      </c>
      <c r="G15" s="11">
        <f t="shared" si="0"/>
        <v>150</v>
      </c>
      <c r="H15" s="14" t="str">
        <f t="shared" si="1"/>
        <v>Electroni</v>
      </c>
      <c r="J15" s="51" t="s">
        <v>101</v>
      </c>
      <c r="K15" s="18" t="s">
        <v>103</v>
      </c>
    </row>
    <row r="16" spans="1:16" ht="15.75" customHeight="1">
      <c r="A16" s="4" t="s">
        <v>50</v>
      </c>
      <c r="B16" s="4" t="s">
        <v>51</v>
      </c>
      <c r="C16" s="4" t="s">
        <v>52</v>
      </c>
      <c r="D16" s="4">
        <v>250</v>
      </c>
      <c r="E16" s="4">
        <v>20</v>
      </c>
      <c r="F16" s="4" t="s">
        <v>27</v>
      </c>
      <c r="G16" s="11">
        <f t="shared" si="0"/>
        <v>250</v>
      </c>
      <c r="H16" s="14" t="str">
        <f t="shared" si="1"/>
        <v>Electroni</v>
      </c>
      <c r="J16" s="18" t="s">
        <v>102</v>
      </c>
      <c r="K16" s="18">
        <f>COUNTBLANK(F2:F32)</f>
        <v>4</v>
      </c>
    </row>
    <row r="17" spans="1:11" ht="15.75" customHeight="1">
      <c r="A17" s="5" t="s">
        <v>53</v>
      </c>
      <c r="B17" s="5" t="s">
        <v>54</v>
      </c>
      <c r="C17" s="5" t="s">
        <v>55</v>
      </c>
      <c r="D17" s="5">
        <v>50</v>
      </c>
      <c r="E17" s="5">
        <v>35</v>
      </c>
      <c r="F17" s="5" t="s">
        <v>56</v>
      </c>
      <c r="G17" s="11">
        <f t="shared" si="0"/>
        <v>50</v>
      </c>
      <c r="H17" s="14" t="str">
        <f t="shared" si="1"/>
        <v>Accessories</v>
      </c>
      <c r="J17" s="51" t="s">
        <v>108</v>
      </c>
      <c r="K17" s="18" t="s">
        <v>104</v>
      </c>
    </row>
    <row r="18" spans="1:11" ht="15.75" customHeight="1">
      <c r="A18" s="4" t="s">
        <v>57</v>
      </c>
      <c r="B18" s="4" t="s">
        <v>48</v>
      </c>
      <c r="C18" s="4" t="s">
        <v>58</v>
      </c>
      <c r="D18" s="4">
        <v>160</v>
      </c>
      <c r="E18" s="4">
        <v>15</v>
      </c>
      <c r="F18" s="4" t="s">
        <v>27</v>
      </c>
      <c r="G18" s="11">
        <f t="shared" si="0"/>
        <v>160</v>
      </c>
      <c r="H18" s="14" t="str">
        <f t="shared" si="1"/>
        <v>Electroni</v>
      </c>
      <c r="J18" s="20"/>
      <c r="K18" s="9"/>
    </row>
    <row r="19" spans="1:11" ht="15.75" customHeight="1">
      <c r="A19" s="5" t="s">
        <v>59</v>
      </c>
      <c r="B19" s="5" t="s">
        <v>7</v>
      </c>
      <c r="C19" s="5" t="s">
        <v>60</v>
      </c>
      <c r="D19" s="5">
        <v>980</v>
      </c>
      <c r="E19" s="5">
        <v>10</v>
      </c>
      <c r="F19" s="5" t="s">
        <v>9</v>
      </c>
      <c r="G19" s="11">
        <f t="shared" si="0"/>
        <v>980</v>
      </c>
      <c r="H19" s="14" t="str">
        <f t="shared" si="1"/>
        <v>Electronics</v>
      </c>
      <c r="J19" s="20"/>
      <c r="K19" s="9"/>
    </row>
    <row r="20" spans="1:11" ht="15.75" customHeight="1">
      <c r="A20" s="4" t="s">
        <v>61</v>
      </c>
      <c r="B20" s="4" t="s">
        <v>62</v>
      </c>
      <c r="C20" s="4" t="s">
        <v>63</v>
      </c>
      <c r="D20" s="4">
        <v>150</v>
      </c>
      <c r="E20" s="4">
        <v>15</v>
      </c>
      <c r="F20" s="4" t="s">
        <v>13</v>
      </c>
      <c r="G20" s="11">
        <f t="shared" si="0"/>
        <v>150</v>
      </c>
      <c r="H20" s="14" t="str">
        <f t="shared" si="1"/>
        <v>Fashion</v>
      </c>
      <c r="J20" s="20"/>
      <c r="K20" s="9"/>
    </row>
    <row r="21" spans="1:11" ht="15.75" customHeight="1">
      <c r="A21" s="5" t="s">
        <v>64</v>
      </c>
      <c r="B21" s="5" t="s">
        <v>65</v>
      </c>
      <c r="C21" s="5" t="s">
        <v>66</v>
      </c>
      <c r="D21" s="5"/>
      <c r="E21" s="5">
        <v>10</v>
      </c>
      <c r="F21" s="5" t="s">
        <v>40</v>
      </c>
      <c r="G21" s="12">
        <f t="shared" si="0"/>
        <v>297.85714285714283</v>
      </c>
      <c r="H21" s="14" t="str">
        <f t="shared" si="1"/>
        <v>Outdoor</v>
      </c>
      <c r="J21" s="20" t="s">
        <v>109</v>
      </c>
      <c r="K21" s="9"/>
    </row>
    <row r="22" spans="1:11" ht="15.75" customHeight="1">
      <c r="A22" s="4" t="s">
        <v>67</v>
      </c>
      <c r="B22" s="4" t="s">
        <v>68</v>
      </c>
      <c r="C22" s="4" t="s">
        <v>69</v>
      </c>
      <c r="D22" s="4">
        <v>700</v>
      </c>
      <c r="E22" s="4">
        <v>50</v>
      </c>
      <c r="F22" s="4" t="s">
        <v>9</v>
      </c>
      <c r="G22" s="11">
        <f t="shared" si="0"/>
        <v>700</v>
      </c>
      <c r="H22" s="14" t="str">
        <f t="shared" si="1"/>
        <v>Electronics</v>
      </c>
    </row>
    <row r="23" spans="1:11" ht="15.75" customHeight="1">
      <c r="A23" s="5" t="s">
        <v>70</v>
      </c>
      <c r="B23" s="5" t="s">
        <v>71</v>
      </c>
      <c r="C23" s="5" t="s">
        <v>72</v>
      </c>
      <c r="D23" s="5">
        <v>80</v>
      </c>
      <c r="E23" s="5">
        <v>20</v>
      </c>
      <c r="F23" s="5" t="s">
        <v>17</v>
      </c>
      <c r="G23" s="11">
        <f t="shared" si="0"/>
        <v>80</v>
      </c>
      <c r="H23" s="14" t="str">
        <f t="shared" si="1"/>
        <v>Kitchen</v>
      </c>
    </row>
    <row r="24" spans="1:11" ht="15.75" customHeight="1">
      <c r="A24" s="4" t="s">
        <v>73</v>
      </c>
      <c r="B24" s="4" t="s">
        <v>74</v>
      </c>
      <c r="C24" s="4" t="s">
        <v>75</v>
      </c>
      <c r="D24" s="4">
        <v>150</v>
      </c>
      <c r="E24" s="4">
        <v>30</v>
      </c>
      <c r="F24" s="4"/>
      <c r="G24" s="11">
        <f t="shared" si="0"/>
        <v>150</v>
      </c>
      <c r="H24" s="15" t="str">
        <f t="shared" si="1"/>
        <v>Unknown</v>
      </c>
    </row>
    <row r="25" spans="1:11" ht="15.75" customHeight="1">
      <c r="A25" s="4" t="s">
        <v>76</v>
      </c>
      <c r="B25" s="4" t="s">
        <v>77</v>
      </c>
      <c r="C25" s="4" t="s">
        <v>78</v>
      </c>
      <c r="D25" s="4">
        <v>800</v>
      </c>
      <c r="E25" s="4">
        <v>45</v>
      </c>
      <c r="F25" s="4" t="s">
        <v>9</v>
      </c>
      <c r="G25" s="11">
        <f t="shared" si="0"/>
        <v>800</v>
      </c>
      <c r="H25" s="14" t="str">
        <f t="shared" si="1"/>
        <v>Electronics</v>
      </c>
    </row>
    <row r="26" spans="1:11" ht="15.75" customHeight="1">
      <c r="A26" s="5" t="s">
        <v>79</v>
      </c>
      <c r="B26" s="5" t="s">
        <v>62</v>
      </c>
      <c r="C26" s="5" t="s">
        <v>80</v>
      </c>
      <c r="D26" s="5"/>
      <c r="E26" s="5">
        <v>25</v>
      </c>
      <c r="F26" s="5" t="s">
        <v>13</v>
      </c>
      <c r="G26" s="12">
        <f t="shared" si="0"/>
        <v>297.85714285714283</v>
      </c>
      <c r="H26" s="14" t="str">
        <f t="shared" si="1"/>
        <v>Fashion</v>
      </c>
    </row>
    <row r="27" spans="1:11" ht="15.75" customHeight="1">
      <c r="A27" s="4" t="s">
        <v>81</v>
      </c>
      <c r="B27" s="4" t="s">
        <v>32</v>
      </c>
      <c r="C27" s="4" t="s">
        <v>82</v>
      </c>
      <c r="D27" s="4">
        <v>400</v>
      </c>
      <c r="E27" s="4">
        <v>40</v>
      </c>
      <c r="F27" s="4" t="s">
        <v>17</v>
      </c>
      <c r="G27" s="11">
        <f t="shared" si="0"/>
        <v>400</v>
      </c>
      <c r="H27" s="14" t="str">
        <f t="shared" si="1"/>
        <v>Kitchen</v>
      </c>
    </row>
    <row r="28" spans="1:11" ht="15.75" customHeight="1">
      <c r="A28" s="4" t="s">
        <v>83</v>
      </c>
      <c r="B28" s="4" t="s">
        <v>84</v>
      </c>
      <c r="C28" s="4" t="s">
        <v>85</v>
      </c>
      <c r="D28" s="4">
        <v>60</v>
      </c>
      <c r="E28" s="4">
        <v>30</v>
      </c>
      <c r="F28" s="4" t="s">
        <v>13</v>
      </c>
      <c r="G28" s="11">
        <f t="shared" si="0"/>
        <v>60</v>
      </c>
      <c r="H28" s="14" t="str">
        <f t="shared" si="1"/>
        <v>Fashion</v>
      </c>
    </row>
    <row r="29" spans="1:11" ht="15.75" customHeight="1">
      <c r="A29" s="5" t="s">
        <v>86</v>
      </c>
      <c r="B29" s="5" t="s">
        <v>87</v>
      </c>
      <c r="C29" s="5" t="s">
        <v>88</v>
      </c>
      <c r="D29" s="5">
        <v>40</v>
      </c>
      <c r="E29" s="5">
        <v>10</v>
      </c>
      <c r="F29" s="5" t="s">
        <v>17</v>
      </c>
      <c r="G29" s="11">
        <f t="shared" si="0"/>
        <v>40</v>
      </c>
      <c r="H29" s="14" t="str">
        <f t="shared" si="1"/>
        <v>Kitchen</v>
      </c>
    </row>
    <row r="30" spans="1:11" ht="15.75" customHeight="1">
      <c r="A30" s="4" t="s">
        <v>89</v>
      </c>
      <c r="B30" s="4" t="s">
        <v>74</v>
      </c>
      <c r="C30" s="4" t="s">
        <v>90</v>
      </c>
      <c r="D30" s="4">
        <v>130</v>
      </c>
      <c r="E30" s="4">
        <v>5</v>
      </c>
      <c r="F30" s="4" t="s">
        <v>9</v>
      </c>
      <c r="G30" s="11">
        <f t="shared" si="0"/>
        <v>130</v>
      </c>
      <c r="H30" s="14" t="str">
        <f t="shared" si="1"/>
        <v>Electronics</v>
      </c>
    </row>
    <row r="31" spans="1:11" ht="15.75" customHeight="1">
      <c r="A31" s="5" t="s">
        <v>91</v>
      </c>
      <c r="B31" s="5" t="s">
        <v>92</v>
      </c>
      <c r="C31" s="5" t="s">
        <v>93</v>
      </c>
      <c r="D31" s="5">
        <v>50</v>
      </c>
      <c r="E31" s="5">
        <v>50</v>
      </c>
      <c r="F31" s="5" t="s">
        <v>13</v>
      </c>
      <c r="G31" s="11">
        <f t="shared" si="0"/>
        <v>50</v>
      </c>
      <c r="H31" s="14" t="str">
        <f t="shared" si="1"/>
        <v>Fashion</v>
      </c>
    </row>
    <row r="32" spans="1:11" ht="15.75" customHeight="1">
      <c r="A32" s="5" t="s">
        <v>94</v>
      </c>
      <c r="B32" s="5" t="s">
        <v>95</v>
      </c>
      <c r="C32" s="5" t="s">
        <v>96</v>
      </c>
      <c r="D32" s="5">
        <v>100</v>
      </c>
      <c r="E32" s="5">
        <v>20</v>
      </c>
      <c r="F32" s="5" t="s">
        <v>56</v>
      </c>
      <c r="G32" s="11">
        <f t="shared" si="0"/>
        <v>100</v>
      </c>
      <c r="H32" s="14" t="str">
        <f t="shared" si="1"/>
        <v>Accessories</v>
      </c>
    </row>
    <row r="33" spans="7:7" ht="15.75" customHeight="1"/>
    <row r="34" spans="7:7" ht="15.75" customHeight="1">
      <c r="G34"/>
    </row>
    <row r="35" spans="7:7" ht="15.75" customHeight="1">
      <c r="G35"/>
    </row>
    <row r="36" spans="7:7" ht="15.75" customHeight="1">
      <c r="G36"/>
    </row>
    <row r="37" spans="7:7" ht="15.75" customHeight="1">
      <c r="G37"/>
    </row>
    <row r="38" spans="7:7" ht="15.75" customHeight="1">
      <c r="G38"/>
    </row>
    <row r="39" spans="7:7" ht="15.75" customHeight="1">
      <c r="G39"/>
    </row>
    <row r="40" spans="7:7" ht="15.75" customHeight="1">
      <c r="G40"/>
    </row>
    <row r="41" spans="7:7" ht="15.75" customHeight="1">
      <c r="G41"/>
    </row>
    <row r="42" spans="7:7" ht="15.75" customHeight="1">
      <c r="G42"/>
    </row>
    <row r="43" spans="7:7" ht="15.75" customHeight="1">
      <c r="G43"/>
    </row>
    <row r="44" spans="7:7" ht="15.75" customHeight="1">
      <c r="G44"/>
    </row>
    <row r="45" spans="7:7" ht="15.75" customHeight="1">
      <c r="G45"/>
    </row>
    <row r="46" spans="7:7" ht="15.75" customHeight="1">
      <c r="G46"/>
    </row>
    <row r="47" spans="7:7" ht="15.75" customHeight="1">
      <c r="G47"/>
    </row>
    <row r="48" spans="7:7" ht="15.75" customHeight="1">
      <c r="G48"/>
    </row>
    <row r="49" spans="7:7" ht="15.75" customHeight="1">
      <c r="G49"/>
    </row>
    <row r="50" spans="7:7" ht="15.75" customHeight="1">
      <c r="G50"/>
    </row>
    <row r="51" spans="7:7" ht="15.75" customHeight="1">
      <c r="G51"/>
    </row>
    <row r="52" spans="7:7" ht="15.75" customHeight="1">
      <c r="G52"/>
    </row>
    <row r="53" spans="7:7" ht="15.75" customHeight="1">
      <c r="G53"/>
    </row>
    <row r="54" spans="7:7" ht="15.75" customHeight="1">
      <c r="G54"/>
    </row>
    <row r="55" spans="7:7" ht="15.75" customHeight="1">
      <c r="G55"/>
    </row>
    <row r="56" spans="7:7" ht="15.75" customHeight="1">
      <c r="G56"/>
    </row>
    <row r="57" spans="7:7" ht="15.75" customHeight="1">
      <c r="G57"/>
    </row>
    <row r="58" spans="7:7" ht="15.75" customHeight="1">
      <c r="G58"/>
    </row>
    <row r="59" spans="7:7" ht="15.75" customHeight="1">
      <c r="G59"/>
    </row>
    <row r="60" spans="7:7" ht="15.75" customHeight="1">
      <c r="G60"/>
    </row>
    <row r="61" spans="7:7" ht="15.75" customHeight="1">
      <c r="G61"/>
    </row>
    <row r="62" spans="7:7" ht="15.75" customHeight="1">
      <c r="G62"/>
    </row>
    <row r="63" spans="7:7" ht="15.75" customHeight="1">
      <c r="G63"/>
    </row>
    <row r="64" spans="7:7" ht="15.75" customHeight="1">
      <c r="G64"/>
    </row>
    <row r="65" spans="7:7" ht="15.75" customHeight="1">
      <c r="G65"/>
    </row>
    <row r="66" spans="7:7" ht="15.75" customHeight="1">
      <c r="G66"/>
    </row>
    <row r="67" spans="7:7" ht="15.75" customHeight="1">
      <c r="G67"/>
    </row>
    <row r="68" spans="7:7" ht="15.75" customHeight="1">
      <c r="G68"/>
    </row>
    <row r="69" spans="7:7" ht="15.75" customHeight="1">
      <c r="G69"/>
    </row>
    <row r="70" spans="7:7" ht="15.75" customHeight="1">
      <c r="G70"/>
    </row>
    <row r="71" spans="7:7" ht="15.75" customHeight="1">
      <c r="G71"/>
    </row>
    <row r="72" spans="7:7" ht="15.75" customHeight="1">
      <c r="G72"/>
    </row>
    <row r="73" spans="7:7" ht="15.75" customHeight="1">
      <c r="G73"/>
    </row>
    <row r="74" spans="7:7" ht="15.75" customHeight="1">
      <c r="G74"/>
    </row>
    <row r="75" spans="7:7" ht="15.75" customHeight="1">
      <c r="G75"/>
    </row>
    <row r="76" spans="7:7" ht="15.75" customHeight="1">
      <c r="G76"/>
    </row>
    <row r="77" spans="7:7" ht="15.75" customHeight="1">
      <c r="G77"/>
    </row>
    <row r="78" spans="7:7" ht="15.75" customHeight="1">
      <c r="G78"/>
    </row>
    <row r="79" spans="7:7" ht="15.75" customHeight="1">
      <c r="G79"/>
    </row>
    <row r="80" spans="7:7" ht="15.75" customHeight="1">
      <c r="G80"/>
    </row>
    <row r="81" spans="7:7" ht="15.75" customHeight="1">
      <c r="G81"/>
    </row>
    <row r="82" spans="7:7" ht="15.75" customHeight="1">
      <c r="G82"/>
    </row>
    <row r="83" spans="7:7" ht="15.75" customHeight="1">
      <c r="G83"/>
    </row>
    <row r="84" spans="7:7" ht="15.75" customHeight="1">
      <c r="G84"/>
    </row>
    <row r="85" spans="7:7" ht="15.75" customHeight="1">
      <c r="G85"/>
    </row>
    <row r="86" spans="7:7" ht="15.75" customHeight="1">
      <c r="G86"/>
    </row>
    <row r="87" spans="7:7" ht="15.75" customHeight="1">
      <c r="G87"/>
    </row>
    <row r="88" spans="7:7" ht="15.75" customHeight="1">
      <c r="G88"/>
    </row>
    <row r="89" spans="7:7" ht="15.75" customHeight="1">
      <c r="G89"/>
    </row>
    <row r="90" spans="7:7" ht="15.75" customHeight="1">
      <c r="G90"/>
    </row>
    <row r="91" spans="7:7" ht="15.75" customHeight="1">
      <c r="G91"/>
    </row>
    <row r="92" spans="7:7" ht="15.75" customHeight="1">
      <c r="G92"/>
    </row>
    <row r="93" spans="7:7" ht="15.75" customHeight="1">
      <c r="G93"/>
    </row>
    <row r="94" spans="7:7" ht="15.75" customHeight="1">
      <c r="G94"/>
    </row>
    <row r="95" spans="7:7" ht="15.75" customHeight="1">
      <c r="G95"/>
    </row>
    <row r="96" spans="7:7" ht="15.75" customHeight="1">
      <c r="G96"/>
    </row>
    <row r="97" spans="7:7" ht="15.75" customHeight="1">
      <c r="G97"/>
    </row>
    <row r="98" spans="7:7" ht="15.75" customHeight="1">
      <c r="G98"/>
    </row>
    <row r="99" spans="7:7" ht="15.75" customHeight="1">
      <c r="G99"/>
    </row>
    <row r="100" spans="7:7" ht="15.75" customHeight="1">
      <c r="G100"/>
    </row>
    <row r="101" spans="7:7" ht="15.75" customHeight="1">
      <c r="G101"/>
    </row>
    <row r="102" spans="7:7" ht="15.75" customHeight="1">
      <c r="G102"/>
    </row>
    <row r="103" spans="7:7" ht="15.75" customHeight="1">
      <c r="G103"/>
    </row>
    <row r="104" spans="7:7" ht="15.75" customHeight="1">
      <c r="G104"/>
    </row>
    <row r="105" spans="7:7" ht="15.75" customHeight="1">
      <c r="G105"/>
    </row>
    <row r="106" spans="7:7" ht="15.75" customHeight="1">
      <c r="G106"/>
    </row>
    <row r="107" spans="7:7" ht="15.75" customHeight="1">
      <c r="G107"/>
    </row>
    <row r="108" spans="7:7" ht="15.75" customHeight="1">
      <c r="G108"/>
    </row>
    <row r="109" spans="7:7" ht="15.75" customHeight="1">
      <c r="G109"/>
    </row>
    <row r="110" spans="7:7" ht="15.75" customHeight="1">
      <c r="G110"/>
    </row>
    <row r="111" spans="7:7" ht="15.75" customHeight="1">
      <c r="G111"/>
    </row>
    <row r="112" spans="7:7" ht="15.75" customHeight="1">
      <c r="G112"/>
    </row>
    <row r="113" spans="7:7" ht="15.75" customHeight="1">
      <c r="G113"/>
    </row>
    <row r="114" spans="7:7" ht="15.75" customHeight="1">
      <c r="G114"/>
    </row>
    <row r="115" spans="7:7" ht="15.75" customHeight="1">
      <c r="G115"/>
    </row>
    <row r="116" spans="7:7" ht="15.75" customHeight="1">
      <c r="G116"/>
    </row>
    <row r="117" spans="7:7" ht="15.75" customHeight="1">
      <c r="G117"/>
    </row>
    <row r="118" spans="7:7" ht="15.75" customHeight="1">
      <c r="G118"/>
    </row>
    <row r="119" spans="7:7" ht="15.75" customHeight="1">
      <c r="G119"/>
    </row>
    <row r="120" spans="7:7" ht="15.75" customHeight="1">
      <c r="G120"/>
    </row>
    <row r="121" spans="7:7" ht="15.75" customHeight="1">
      <c r="G121"/>
    </row>
    <row r="122" spans="7:7" ht="15.75" customHeight="1">
      <c r="G122"/>
    </row>
    <row r="123" spans="7:7" ht="15.75" customHeight="1">
      <c r="G123"/>
    </row>
    <row r="124" spans="7:7" ht="15.75" customHeight="1">
      <c r="G124"/>
    </row>
    <row r="125" spans="7:7" ht="15.75" customHeight="1">
      <c r="G125"/>
    </row>
    <row r="126" spans="7:7" ht="15.75" customHeight="1">
      <c r="G126"/>
    </row>
    <row r="127" spans="7:7" ht="15.75" customHeight="1">
      <c r="G127"/>
    </row>
    <row r="128" spans="7:7" ht="15.75" customHeight="1">
      <c r="G128"/>
    </row>
    <row r="129" spans="7:7" ht="15.75" customHeight="1">
      <c r="G129"/>
    </row>
    <row r="130" spans="7:7" ht="15.75" customHeight="1">
      <c r="G130"/>
    </row>
    <row r="131" spans="7:7" ht="15.75" customHeight="1">
      <c r="G131"/>
    </row>
    <row r="132" spans="7:7" ht="15.75" customHeight="1">
      <c r="G132"/>
    </row>
    <row r="133" spans="7:7" ht="15.75" customHeight="1">
      <c r="G133"/>
    </row>
    <row r="134" spans="7:7" ht="15.75" customHeight="1">
      <c r="G134"/>
    </row>
    <row r="135" spans="7:7" ht="15.75" customHeight="1">
      <c r="G135"/>
    </row>
    <row r="136" spans="7:7" ht="15.75" customHeight="1">
      <c r="G136"/>
    </row>
    <row r="137" spans="7:7" ht="15.75" customHeight="1">
      <c r="G137"/>
    </row>
    <row r="138" spans="7:7" ht="15.75" customHeight="1">
      <c r="G138"/>
    </row>
    <row r="139" spans="7:7" ht="15.75" customHeight="1">
      <c r="G139"/>
    </row>
    <row r="140" spans="7:7" ht="15.75" customHeight="1">
      <c r="G140"/>
    </row>
    <row r="141" spans="7:7" ht="15.75" customHeight="1">
      <c r="G141"/>
    </row>
    <row r="142" spans="7:7" ht="15.75" customHeight="1">
      <c r="G142"/>
    </row>
    <row r="143" spans="7:7" ht="15.75" customHeight="1">
      <c r="G143"/>
    </row>
    <row r="144" spans="7:7" ht="15.75" customHeight="1">
      <c r="G144"/>
    </row>
    <row r="145" spans="7:7" ht="15.75" customHeight="1">
      <c r="G145"/>
    </row>
    <row r="146" spans="7:7" ht="15.75" customHeight="1">
      <c r="G146"/>
    </row>
    <row r="147" spans="7:7" ht="15.75" customHeight="1">
      <c r="G147"/>
    </row>
    <row r="148" spans="7:7" ht="15.75" customHeight="1">
      <c r="G148"/>
    </row>
    <row r="149" spans="7:7" ht="15.75" customHeight="1">
      <c r="G149"/>
    </row>
    <row r="150" spans="7:7" ht="15.75" customHeight="1">
      <c r="G150"/>
    </row>
    <row r="151" spans="7:7" ht="15.75" customHeight="1">
      <c r="G151"/>
    </row>
    <row r="152" spans="7:7" ht="15.75" customHeight="1">
      <c r="G152"/>
    </row>
    <row r="153" spans="7:7" ht="15.75" customHeight="1">
      <c r="G153"/>
    </row>
    <row r="154" spans="7:7" ht="15.75" customHeight="1">
      <c r="G154"/>
    </row>
    <row r="155" spans="7:7" ht="15.75" customHeight="1">
      <c r="G155"/>
    </row>
    <row r="156" spans="7:7" ht="15.75" customHeight="1">
      <c r="G156"/>
    </row>
    <row r="157" spans="7:7" ht="15.75" customHeight="1">
      <c r="G157"/>
    </row>
    <row r="158" spans="7:7" ht="15.75" customHeight="1">
      <c r="G158"/>
    </row>
    <row r="159" spans="7:7" ht="15.75" customHeight="1">
      <c r="G159"/>
    </row>
    <row r="160" spans="7:7" ht="15.75" customHeight="1">
      <c r="G160"/>
    </row>
    <row r="161" spans="7:7" ht="15.75" customHeight="1">
      <c r="G161"/>
    </row>
    <row r="162" spans="7:7" ht="15.75" customHeight="1">
      <c r="G162"/>
    </row>
    <row r="163" spans="7:7" ht="15.75" customHeight="1">
      <c r="G163"/>
    </row>
    <row r="164" spans="7:7" ht="15.75" customHeight="1">
      <c r="G164"/>
    </row>
    <row r="165" spans="7:7" ht="15.75" customHeight="1">
      <c r="G165"/>
    </row>
    <row r="166" spans="7:7" ht="15.75" customHeight="1">
      <c r="G166"/>
    </row>
    <row r="167" spans="7:7" ht="15.75" customHeight="1">
      <c r="G167"/>
    </row>
    <row r="168" spans="7:7" ht="15.75" customHeight="1">
      <c r="G168"/>
    </row>
    <row r="169" spans="7:7" ht="15.75" customHeight="1">
      <c r="G169"/>
    </row>
    <row r="170" spans="7:7" ht="15.75" customHeight="1">
      <c r="G170"/>
    </row>
    <row r="171" spans="7:7" ht="15.75" customHeight="1">
      <c r="G171"/>
    </row>
    <row r="172" spans="7:7" ht="15.75" customHeight="1">
      <c r="G172"/>
    </row>
    <row r="173" spans="7:7" ht="15.75" customHeight="1">
      <c r="G173"/>
    </row>
    <row r="174" spans="7:7" ht="15.75" customHeight="1">
      <c r="G174"/>
    </row>
    <row r="175" spans="7:7" ht="15.75" customHeight="1">
      <c r="G175"/>
    </row>
    <row r="176" spans="7:7" ht="15.75" customHeight="1">
      <c r="G176"/>
    </row>
    <row r="177" spans="7:7" ht="15.75" customHeight="1">
      <c r="G177"/>
    </row>
    <row r="178" spans="7:7" ht="15.75" customHeight="1">
      <c r="G178"/>
    </row>
    <row r="179" spans="7:7" ht="15.75" customHeight="1">
      <c r="G179"/>
    </row>
    <row r="180" spans="7:7" ht="15.75" customHeight="1">
      <c r="G180"/>
    </row>
    <row r="181" spans="7:7" ht="15.75" customHeight="1">
      <c r="G181"/>
    </row>
    <row r="182" spans="7:7" ht="15.75" customHeight="1">
      <c r="G182"/>
    </row>
    <row r="183" spans="7:7" ht="15.75" customHeight="1">
      <c r="G183"/>
    </row>
    <row r="184" spans="7:7" ht="15.75" customHeight="1">
      <c r="G184"/>
    </row>
    <row r="185" spans="7:7" ht="15.75" customHeight="1">
      <c r="G185"/>
    </row>
    <row r="186" spans="7:7" ht="15.75" customHeight="1">
      <c r="G186"/>
    </row>
    <row r="187" spans="7:7" ht="15.75" customHeight="1">
      <c r="G187"/>
    </row>
    <row r="188" spans="7:7" ht="15.75" customHeight="1">
      <c r="G188"/>
    </row>
    <row r="189" spans="7:7" ht="15.75" customHeight="1">
      <c r="G189"/>
    </row>
    <row r="190" spans="7:7" ht="15.75" customHeight="1">
      <c r="G190"/>
    </row>
    <row r="191" spans="7:7" ht="15.75" customHeight="1">
      <c r="G191"/>
    </row>
    <row r="192" spans="7:7" ht="15.75" customHeight="1">
      <c r="G192"/>
    </row>
    <row r="193" spans="7:7" ht="15.75" customHeight="1">
      <c r="G193"/>
    </row>
    <row r="194" spans="7:7" ht="15.75" customHeight="1">
      <c r="G194"/>
    </row>
    <row r="195" spans="7:7" ht="15.75" customHeight="1">
      <c r="G195"/>
    </row>
    <row r="196" spans="7:7" ht="15.75" customHeight="1">
      <c r="G196"/>
    </row>
    <row r="197" spans="7:7" ht="15.75" customHeight="1">
      <c r="G197"/>
    </row>
    <row r="198" spans="7:7" ht="15.75" customHeight="1">
      <c r="G198"/>
    </row>
    <row r="199" spans="7:7" ht="15.75" customHeight="1">
      <c r="G199"/>
    </row>
    <row r="200" spans="7:7" ht="15.75" customHeight="1">
      <c r="G200"/>
    </row>
    <row r="201" spans="7:7" ht="15.75" customHeight="1">
      <c r="G201"/>
    </row>
    <row r="202" spans="7:7" ht="15.75" customHeight="1">
      <c r="G202"/>
    </row>
    <row r="203" spans="7:7" ht="15.75" customHeight="1">
      <c r="G203"/>
    </row>
    <row r="204" spans="7:7" ht="15.75" customHeight="1">
      <c r="G204"/>
    </row>
    <row r="205" spans="7:7" ht="15.75" customHeight="1">
      <c r="G205"/>
    </row>
    <row r="206" spans="7:7" ht="15.75" customHeight="1">
      <c r="G206"/>
    </row>
    <row r="207" spans="7:7" ht="15.75" customHeight="1">
      <c r="G207"/>
    </row>
    <row r="208" spans="7:7" ht="15.75" customHeight="1">
      <c r="G208"/>
    </row>
    <row r="209" spans="7:7" ht="15.75" customHeight="1">
      <c r="G209"/>
    </row>
    <row r="210" spans="7:7" ht="15.75" customHeight="1">
      <c r="G210"/>
    </row>
    <row r="211" spans="7:7" ht="15.75" customHeight="1">
      <c r="G211"/>
    </row>
    <row r="212" spans="7:7" ht="15.75" customHeight="1">
      <c r="G212"/>
    </row>
    <row r="213" spans="7:7" ht="15.75" customHeight="1">
      <c r="G213"/>
    </row>
    <row r="214" spans="7:7" ht="15.75" customHeight="1">
      <c r="G214"/>
    </row>
    <row r="215" spans="7:7" ht="15.75" customHeight="1">
      <c r="G215"/>
    </row>
    <row r="216" spans="7:7" ht="15.75" customHeight="1">
      <c r="G216"/>
    </row>
    <row r="217" spans="7:7" ht="15.75" customHeight="1">
      <c r="G217"/>
    </row>
    <row r="218" spans="7:7" ht="15.75" customHeight="1">
      <c r="G218"/>
    </row>
    <row r="219" spans="7:7" ht="15.75" customHeight="1">
      <c r="G219"/>
    </row>
    <row r="220" spans="7:7" ht="15.75" customHeight="1">
      <c r="G220"/>
    </row>
    <row r="221" spans="7:7" ht="15.75" customHeight="1">
      <c r="G221"/>
    </row>
    <row r="222" spans="7:7" ht="15.75" customHeight="1">
      <c r="G222"/>
    </row>
    <row r="223" spans="7:7" ht="15.75" customHeight="1">
      <c r="G223"/>
    </row>
    <row r="224" spans="7:7" ht="15.75" customHeight="1">
      <c r="G224"/>
    </row>
    <row r="225" spans="7:7" ht="15.75" customHeight="1">
      <c r="G225"/>
    </row>
    <row r="226" spans="7:7" ht="15.75" customHeight="1">
      <c r="G226"/>
    </row>
    <row r="227" spans="7:7" ht="15.75" customHeight="1">
      <c r="G227"/>
    </row>
    <row r="228" spans="7:7" ht="15.75" customHeight="1">
      <c r="G228"/>
    </row>
    <row r="229" spans="7:7" ht="15.75" customHeight="1">
      <c r="G229"/>
    </row>
    <row r="230" spans="7:7" ht="15.75" customHeight="1">
      <c r="G230"/>
    </row>
    <row r="231" spans="7:7" ht="15.75" customHeight="1">
      <c r="G231"/>
    </row>
    <row r="232" spans="7:7" ht="15.75" customHeight="1">
      <c r="G232"/>
    </row>
    <row r="233" spans="7:7" ht="15.75" customHeight="1">
      <c r="G233"/>
    </row>
    <row r="234" spans="7:7" ht="15.75" customHeight="1">
      <c r="G234"/>
    </row>
    <row r="235" spans="7:7" ht="15.75" customHeight="1">
      <c r="G235"/>
    </row>
    <row r="236" spans="7:7" ht="15.75" customHeight="1">
      <c r="G236"/>
    </row>
    <row r="237" spans="7:7" ht="15.75" customHeight="1">
      <c r="G237"/>
    </row>
    <row r="238" spans="7:7" ht="15.75" customHeight="1">
      <c r="G238"/>
    </row>
    <row r="239" spans="7:7" ht="15.75" customHeight="1">
      <c r="G239"/>
    </row>
    <row r="240" spans="7:7" ht="15.75" customHeight="1">
      <c r="G240"/>
    </row>
    <row r="241" spans="7:7" ht="15.75" customHeight="1">
      <c r="G241"/>
    </row>
    <row r="242" spans="7:7" ht="15.75" customHeight="1">
      <c r="G242"/>
    </row>
    <row r="243" spans="7:7" ht="15.75" customHeight="1">
      <c r="G243"/>
    </row>
    <row r="244" spans="7:7" ht="15.75" customHeight="1">
      <c r="G244"/>
    </row>
    <row r="245" spans="7:7" ht="15.75" customHeight="1">
      <c r="G245"/>
    </row>
    <row r="246" spans="7:7" ht="15.75" customHeight="1">
      <c r="G246"/>
    </row>
    <row r="247" spans="7:7" ht="15.75" customHeight="1">
      <c r="G247"/>
    </row>
    <row r="248" spans="7:7" ht="15.75" customHeight="1">
      <c r="G248"/>
    </row>
    <row r="249" spans="7:7" ht="15.75" customHeight="1">
      <c r="G249"/>
    </row>
    <row r="250" spans="7:7" ht="15.75" customHeight="1">
      <c r="G250"/>
    </row>
    <row r="251" spans="7:7" ht="15.75" customHeight="1">
      <c r="G251"/>
    </row>
    <row r="252" spans="7:7" ht="15.75" customHeight="1">
      <c r="G252"/>
    </row>
    <row r="253" spans="7:7" ht="15.75" customHeight="1">
      <c r="G253"/>
    </row>
    <row r="254" spans="7:7" ht="15.75" customHeight="1">
      <c r="G254"/>
    </row>
    <row r="255" spans="7:7" ht="15.75" customHeight="1">
      <c r="G255"/>
    </row>
    <row r="256" spans="7:7" ht="15.75" customHeight="1">
      <c r="G256"/>
    </row>
    <row r="257" spans="7:7" ht="15.75" customHeight="1">
      <c r="G257"/>
    </row>
    <row r="258" spans="7:7" ht="15.75" customHeight="1">
      <c r="G258"/>
    </row>
    <row r="259" spans="7:7" ht="15.75" customHeight="1">
      <c r="G259"/>
    </row>
    <row r="260" spans="7:7" ht="15.75" customHeight="1">
      <c r="G260"/>
    </row>
    <row r="261" spans="7:7" ht="15.75" customHeight="1">
      <c r="G261"/>
    </row>
    <row r="262" spans="7:7" ht="15.75" customHeight="1">
      <c r="G262"/>
    </row>
    <row r="263" spans="7:7" ht="15.75" customHeight="1">
      <c r="G263"/>
    </row>
    <row r="264" spans="7:7" ht="15.75" customHeight="1">
      <c r="G264"/>
    </row>
    <row r="265" spans="7:7" ht="15.75" customHeight="1">
      <c r="G265"/>
    </row>
    <row r="266" spans="7:7" ht="15.75" customHeight="1">
      <c r="G266"/>
    </row>
    <row r="267" spans="7:7" ht="15.75" customHeight="1">
      <c r="G267"/>
    </row>
    <row r="268" spans="7:7" ht="15.75" customHeight="1">
      <c r="G268"/>
    </row>
    <row r="269" spans="7:7" ht="15.75" customHeight="1">
      <c r="G269"/>
    </row>
    <row r="270" spans="7:7" ht="15.75" customHeight="1">
      <c r="G270"/>
    </row>
    <row r="271" spans="7:7" ht="15.75" customHeight="1">
      <c r="G271"/>
    </row>
    <row r="272" spans="7:7" ht="15.75" customHeight="1">
      <c r="G272"/>
    </row>
    <row r="273" spans="7:7" ht="15.75" customHeight="1">
      <c r="G273"/>
    </row>
    <row r="274" spans="7:7" ht="15.75" customHeight="1">
      <c r="G274"/>
    </row>
    <row r="275" spans="7:7" ht="15.75" customHeight="1">
      <c r="G275"/>
    </row>
    <row r="276" spans="7:7" ht="15.75" customHeight="1">
      <c r="G276"/>
    </row>
    <row r="277" spans="7:7" ht="15.75" customHeight="1">
      <c r="G277"/>
    </row>
    <row r="278" spans="7:7" ht="15.75" customHeight="1">
      <c r="G278"/>
    </row>
    <row r="279" spans="7:7" ht="15.75" customHeight="1">
      <c r="G279"/>
    </row>
    <row r="280" spans="7:7" ht="15.75" customHeight="1">
      <c r="G280"/>
    </row>
    <row r="281" spans="7:7" ht="15.75" customHeight="1">
      <c r="G281"/>
    </row>
    <row r="282" spans="7:7" ht="15.75" customHeight="1">
      <c r="G282"/>
    </row>
    <row r="283" spans="7:7" ht="15.75" customHeight="1">
      <c r="G283"/>
    </row>
    <row r="284" spans="7:7" ht="15.75" customHeight="1">
      <c r="G284"/>
    </row>
    <row r="285" spans="7:7" ht="15.75" customHeight="1">
      <c r="G285"/>
    </row>
    <row r="286" spans="7:7" ht="15.75" customHeight="1">
      <c r="G286"/>
    </row>
    <row r="287" spans="7:7" ht="15.75" customHeight="1">
      <c r="G287"/>
    </row>
    <row r="288" spans="7:7" ht="15.75" customHeight="1">
      <c r="G288"/>
    </row>
    <row r="289" spans="7:7" ht="15.75" customHeight="1">
      <c r="G289"/>
    </row>
    <row r="290" spans="7:7" ht="15.75" customHeight="1">
      <c r="G290"/>
    </row>
    <row r="291" spans="7:7" ht="15.75" customHeight="1">
      <c r="G291"/>
    </row>
    <row r="292" spans="7:7" ht="15.75" customHeight="1">
      <c r="G292"/>
    </row>
    <row r="293" spans="7:7" ht="15.75" customHeight="1">
      <c r="G293"/>
    </row>
    <row r="294" spans="7:7" ht="15.75" customHeight="1">
      <c r="G294"/>
    </row>
    <row r="295" spans="7:7" ht="15.75" customHeight="1">
      <c r="G295"/>
    </row>
    <row r="296" spans="7:7" ht="15.75" customHeight="1">
      <c r="G296"/>
    </row>
    <row r="297" spans="7:7" ht="15.75" customHeight="1">
      <c r="G297"/>
    </row>
    <row r="298" spans="7:7" ht="15.75" customHeight="1">
      <c r="G298"/>
    </row>
    <row r="299" spans="7:7" ht="15.75" customHeight="1">
      <c r="G299"/>
    </row>
    <row r="300" spans="7:7" ht="15.75" customHeight="1">
      <c r="G300"/>
    </row>
    <row r="301" spans="7:7" ht="15.75" customHeight="1">
      <c r="G301"/>
    </row>
    <row r="302" spans="7:7" ht="15.75" customHeight="1">
      <c r="G302"/>
    </row>
    <row r="303" spans="7:7" ht="15.75" customHeight="1">
      <c r="G303"/>
    </row>
    <row r="304" spans="7:7" ht="15.75" customHeight="1">
      <c r="G304"/>
    </row>
    <row r="305" spans="7:7" ht="15.75" customHeight="1">
      <c r="G305"/>
    </row>
    <row r="306" spans="7:7" ht="15.75" customHeight="1">
      <c r="G306"/>
    </row>
    <row r="307" spans="7:7" ht="15.75" customHeight="1">
      <c r="G307"/>
    </row>
    <row r="308" spans="7:7" ht="15.75" customHeight="1">
      <c r="G308"/>
    </row>
    <row r="309" spans="7:7" ht="15.75" customHeight="1">
      <c r="G309"/>
    </row>
    <row r="310" spans="7:7" ht="15.75" customHeight="1">
      <c r="G310"/>
    </row>
    <row r="311" spans="7:7" ht="15.75" customHeight="1">
      <c r="G311"/>
    </row>
    <row r="312" spans="7:7" ht="15.75" customHeight="1">
      <c r="G312"/>
    </row>
    <row r="313" spans="7:7" ht="15.75" customHeight="1">
      <c r="G313"/>
    </row>
    <row r="314" spans="7:7" ht="15.75" customHeight="1">
      <c r="G314"/>
    </row>
    <row r="315" spans="7:7" ht="15.75" customHeight="1">
      <c r="G315"/>
    </row>
    <row r="316" spans="7:7" ht="15.75" customHeight="1">
      <c r="G316"/>
    </row>
    <row r="317" spans="7:7" ht="15.75" customHeight="1">
      <c r="G317"/>
    </row>
    <row r="318" spans="7:7" ht="15.75" customHeight="1">
      <c r="G318"/>
    </row>
    <row r="319" spans="7:7" ht="15.75" customHeight="1">
      <c r="G319"/>
    </row>
    <row r="320" spans="7:7" ht="15.75" customHeight="1">
      <c r="G320"/>
    </row>
    <row r="321" spans="7:7" ht="15.75" customHeight="1">
      <c r="G321"/>
    </row>
    <row r="322" spans="7:7" ht="15.75" customHeight="1">
      <c r="G322"/>
    </row>
    <row r="323" spans="7:7" ht="15.75" customHeight="1">
      <c r="G323"/>
    </row>
    <row r="324" spans="7:7" ht="15.75" customHeight="1">
      <c r="G324"/>
    </row>
    <row r="325" spans="7:7" ht="15.75" customHeight="1">
      <c r="G325"/>
    </row>
    <row r="326" spans="7:7" ht="15.75" customHeight="1">
      <c r="G326"/>
    </row>
    <row r="327" spans="7:7" ht="15.75" customHeight="1">
      <c r="G327"/>
    </row>
    <row r="328" spans="7:7" ht="15.75" customHeight="1">
      <c r="G328"/>
    </row>
    <row r="329" spans="7:7" ht="15.75" customHeight="1">
      <c r="G329"/>
    </row>
    <row r="330" spans="7:7" ht="15.75" customHeight="1">
      <c r="G330"/>
    </row>
    <row r="331" spans="7:7" ht="15.75" customHeight="1">
      <c r="G331"/>
    </row>
    <row r="332" spans="7:7" ht="15.75" customHeight="1">
      <c r="G332"/>
    </row>
    <row r="333" spans="7:7" ht="15.75" customHeight="1">
      <c r="G333"/>
    </row>
    <row r="334" spans="7:7" ht="15.75" customHeight="1">
      <c r="G334"/>
    </row>
    <row r="335" spans="7:7" ht="15.75" customHeight="1">
      <c r="G335"/>
    </row>
    <row r="336" spans="7:7" ht="15.75" customHeight="1">
      <c r="G336"/>
    </row>
    <row r="337" spans="7:7" ht="15.75" customHeight="1">
      <c r="G337"/>
    </row>
    <row r="338" spans="7:7" ht="15.75" customHeight="1">
      <c r="G338"/>
    </row>
    <row r="339" spans="7:7" ht="15.75" customHeight="1">
      <c r="G339"/>
    </row>
    <row r="340" spans="7:7" ht="15.75" customHeight="1">
      <c r="G340"/>
    </row>
    <row r="341" spans="7:7" ht="15.75" customHeight="1">
      <c r="G341"/>
    </row>
    <row r="342" spans="7:7" ht="15.75" customHeight="1">
      <c r="G342"/>
    </row>
    <row r="343" spans="7:7" ht="15.75" customHeight="1">
      <c r="G343"/>
    </row>
    <row r="344" spans="7:7" ht="15.75" customHeight="1">
      <c r="G344"/>
    </row>
    <row r="345" spans="7:7" ht="15.75" customHeight="1">
      <c r="G345"/>
    </row>
    <row r="346" spans="7:7" ht="15.75" customHeight="1">
      <c r="G346"/>
    </row>
    <row r="347" spans="7:7" ht="15.75" customHeight="1">
      <c r="G347"/>
    </row>
    <row r="348" spans="7:7" ht="15.75" customHeight="1">
      <c r="G348"/>
    </row>
    <row r="349" spans="7:7" ht="15.75" customHeight="1">
      <c r="G349"/>
    </row>
    <row r="350" spans="7:7" ht="15.75" customHeight="1">
      <c r="G350"/>
    </row>
    <row r="351" spans="7:7" ht="15.75" customHeight="1">
      <c r="G351"/>
    </row>
    <row r="352" spans="7:7" ht="15.75" customHeight="1">
      <c r="G352"/>
    </row>
    <row r="353" spans="7:7" ht="15.75" customHeight="1">
      <c r="G353"/>
    </row>
    <row r="354" spans="7:7" ht="15.75" customHeight="1">
      <c r="G354"/>
    </row>
    <row r="355" spans="7:7" ht="15.75" customHeight="1">
      <c r="G355"/>
    </row>
    <row r="356" spans="7:7" ht="15.75" customHeight="1">
      <c r="G356"/>
    </row>
    <row r="357" spans="7:7" ht="15.75" customHeight="1">
      <c r="G357"/>
    </row>
    <row r="358" spans="7:7" ht="15.75" customHeight="1">
      <c r="G358"/>
    </row>
    <row r="359" spans="7:7" ht="15.75" customHeight="1">
      <c r="G359"/>
    </row>
    <row r="360" spans="7:7" ht="15.75" customHeight="1">
      <c r="G360"/>
    </row>
    <row r="361" spans="7:7" ht="15.75" customHeight="1">
      <c r="G361"/>
    </row>
    <row r="362" spans="7:7" ht="15.75" customHeight="1">
      <c r="G362"/>
    </row>
    <row r="363" spans="7:7" ht="15.75" customHeight="1">
      <c r="G363"/>
    </row>
    <row r="364" spans="7:7" ht="15.75" customHeight="1">
      <c r="G364"/>
    </row>
    <row r="365" spans="7:7" ht="15.75" customHeight="1">
      <c r="G365"/>
    </row>
    <row r="366" spans="7:7" ht="15.75" customHeight="1">
      <c r="G366"/>
    </row>
    <row r="367" spans="7:7" ht="15.75" customHeight="1">
      <c r="G367"/>
    </row>
    <row r="368" spans="7:7" ht="15.75" customHeight="1">
      <c r="G368"/>
    </row>
    <row r="369" spans="7:7" ht="15.75" customHeight="1">
      <c r="G369"/>
    </row>
    <row r="370" spans="7:7" ht="15.75" customHeight="1">
      <c r="G370"/>
    </row>
    <row r="371" spans="7:7" ht="15.75" customHeight="1">
      <c r="G371"/>
    </row>
    <row r="372" spans="7:7" ht="15.75" customHeight="1">
      <c r="G372"/>
    </row>
    <row r="373" spans="7:7" ht="15.75" customHeight="1">
      <c r="G373"/>
    </row>
    <row r="374" spans="7:7" ht="15.75" customHeight="1">
      <c r="G374"/>
    </row>
    <row r="375" spans="7:7" ht="15.75" customHeight="1">
      <c r="G375"/>
    </row>
    <row r="376" spans="7:7" ht="15.75" customHeight="1">
      <c r="G376"/>
    </row>
    <row r="377" spans="7:7" ht="15.75" customHeight="1">
      <c r="G377"/>
    </row>
    <row r="378" spans="7:7" ht="15.75" customHeight="1">
      <c r="G378"/>
    </row>
    <row r="379" spans="7:7" ht="15.75" customHeight="1">
      <c r="G379"/>
    </row>
    <row r="380" spans="7:7" ht="15.75" customHeight="1">
      <c r="G380"/>
    </row>
    <row r="381" spans="7:7" ht="15.75" customHeight="1">
      <c r="G381"/>
    </row>
    <row r="382" spans="7:7" ht="15.75" customHeight="1">
      <c r="G382"/>
    </row>
    <row r="383" spans="7:7" ht="15.75" customHeight="1">
      <c r="G383"/>
    </row>
    <row r="384" spans="7:7" ht="15.75" customHeight="1">
      <c r="G384"/>
    </row>
    <row r="385" spans="7:7" ht="15.75" customHeight="1">
      <c r="G385"/>
    </row>
    <row r="386" spans="7:7" ht="15.75" customHeight="1">
      <c r="G386"/>
    </row>
    <row r="387" spans="7:7" ht="15.75" customHeight="1">
      <c r="G387"/>
    </row>
    <row r="388" spans="7:7" ht="15.75" customHeight="1">
      <c r="G388"/>
    </row>
    <row r="389" spans="7:7" ht="15.75" customHeight="1">
      <c r="G389"/>
    </row>
    <row r="390" spans="7:7" ht="15.75" customHeight="1">
      <c r="G390"/>
    </row>
    <row r="391" spans="7:7" ht="15.75" customHeight="1">
      <c r="G391"/>
    </row>
    <row r="392" spans="7:7" ht="15.75" customHeight="1">
      <c r="G392"/>
    </row>
    <row r="393" spans="7:7" ht="15.75" customHeight="1">
      <c r="G393"/>
    </row>
    <row r="394" spans="7:7" ht="15.75" customHeight="1">
      <c r="G394"/>
    </row>
    <row r="395" spans="7:7" ht="15.75" customHeight="1">
      <c r="G395"/>
    </row>
    <row r="396" spans="7:7" ht="15.75" customHeight="1">
      <c r="G396"/>
    </row>
    <row r="397" spans="7:7" ht="15.75" customHeight="1">
      <c r="G397"/>
    </row>
    <row r="398" spans="7:7" ht="15.75" customHeight="1">
      <c r="G398"/>
    </row>
    <row r="399" spans="7:7" ht="15.75" customHeight="1">
      <c r="G399"/>
    </row>
    <row r="400" spans="7:7" ht="15.75" customHeight="1">
      <c r="G400"/>
    </row>
    <row r="401" spans="7:7" ht="15.75" customHeight="1">
      <c r="G401"/>
    </row>
    <row r="402" spans="7:7" ht="15.75" customHeight="1">
      <c r="G402"/>
    </row>
    <row r="403" spans="7:7" ht="15.75" customHeight="1">
      <c r="G403"/>
    </row>
    <row r="404" spans="7:7" ht="15.75" customHeight="1">
      <c r="G404"/>
    </row>
    <row r="405" spans="7:7" ht="15.75" customHeight="1">
      <c r="G405"/>
    </row>
    <row r="406" spans="7:7" ht="15.75" customHeight="1">
      <c r="G406"/>
    </row>
    <row r="407" spans="7:7" ht="15.75" customHeight="1">
      <c r="G407"/>
    </row>
    <row r="408" spans="7:7" ht="15.75" customHeight="1">
      <c r="G408"/>
    </row>
    <row r="409" spans="7:7" ht="15.75" customHeight="1">
      <c r="G409"/>
    </row>
    <row r="410" spans="7:7" ht="15.75" customHeight="1">
      <c r="G410"/>
    </row>
    <row r="411" spans="7:7" ht="15.75" customHeight="1">
      <c r="G411"/>
    </row>
    <row r="412" spans="7:7" ht="15.75" customHeight="1">
      <c r="G412"/>
    </row>
    <row r="413" spans="7:7" ht="15.75" customHeight="1">
      <c r="G413"/>
    </row>
    <row r="414" spans="7:7" ht="15.75" customHeight="1">
      <c r="G414"/>
    </row>
    <row r="415" spans="7:7" ht="15.75" customHeight="1">
      <c r="G415"/>
    </row>
    <row r="416" spans="7:7" ht="15.75" customHeight="1">
      <c r="G416"/>
    </row>
    <row r="417" spans="7:7" ht="15.75" customHeight="1">
      <c r="G417"/>
    </row>
    <row r="418" spans="7:7" ht="15.75" customHeight="1">
      <c r="G418"/>
    </row>
    <row r="419" spans="7:7" ht="15.75" customHeight="1">
      <c r="G419"/>
    </row>
    <row r="420" spans="7:7" ht="15.75" customHeight="1">
      <c r="G420"/>
    </row>
    <row r="421" spans="7:7" ht="15.75" customHeight="1">
      <c r="G421"/>
    </row>
    <row r="422" spans="7:7" ht="15.75" customHeight="1">
      <c r="G422"/>
    </row>
    <row r="423" spans="7:7" ht="15.75" customHeight="1">
      <c r="G423"/>
    </row>
    <row r="424" spans="7:7" ht="15.75" customHeight="1">
      <c r="G424"/>
    </row>
    <row r="425" spans="7:7" ht="15.75" customHeight="1">
      <c r="G425"/>
    </row>
    <row r="426" spans="7:7" ht="15.75" customHeight="1">
      <c r="G426"/>
    </row>
    <row r="427" spans="7:7" ht="15.75" customHeight="1">
      <c r="G427"/>
    </row>
    <row r="428" spans="7:7" ht="15.75" customHeight="1">
      <c r="G428"/>
    </row>
    <row r="429" spans="7:7" ht="15.75" customHeight="1">
      <c r="G429"/>
    </row>
    <row r="430" spans="7:7" ht="15.75" customHeight="1">
      <c r="G430"/>
    </row>
    <row r="431" spans="7:7" ht="15.75" customHeight="1">
      <c r="G431"/>
    </row>
    <row r="432" spans="7:7" ht="15.75" customHeight="1">
      <c r="G432"/>
    </row>
    <row r="433" spans="7:7" ht="15.75" customHeight="1">
      <c r="G433"/>
    </row>
    <row r="434" spans="7:7" ht="15.75" customHeight="1">
      <c r="G434"/>
    </row>
    <row r="435" spans="7:7" ht="15.75" customHeight="1">
      <c r="G435"/>
    </row>
    <row r="436" spans="7:7" ht="15.75" customHeight="1">
      <c r="G436"/>
    </row>
    <row r="437" spans="7:7" ht="15.75" customHeight="1">
      <c r="G437"/>
    </row>
    <row r="438" spans="7:7" ht="15.75" customHeight="1">
      <c r="G438"/>
    </row>
    <row r="439" spans="7:7" ht="15.75" customHeight="1">
      <c r="G439"/>
    </row>
    <row r="440" spans="7:7" ht="15.75" customHeight="1">
      <c r="G440"/>
    </row>
    <row r="441" spans="7:7" ht="15.75" customHeight="1">
      <c r="G441"/>
    </row>
    <row r="442" spans="7:7" ht="15.75" customHeight="1">
      <c r="G442"/>
    </row>
    <row r="443" spans="7:7" ht="15.75" customHeight="1">
      <c r="G443"/>
    </row>
    <row r="444" spans="7:7" ht="15.75" customHeight="1">
      <c r="G444"/>
    </row>
    <row r="445" spans="7:7" ht="15.75" customHeight="1">
      <c r="G445"/>
    </row>
    <row r="446" spans="7:7" ht="15.75" customHeight="1">
      <c r="G446"/>
    </row>
    <row r="447" spans="7:7" ht="15.75" customHeight="1">
      <c r="G447"/>
    </row>
    <row r="448" spans="7:7" ht="15.75" customHeight="1">
      <c r="G448"/>
    </row>
    <row r="449" spans="7:7" ht="15.75" customHeight="1">
      <c r="G449"/>
    </row>
    <row r="450" spans="7:7" ht="15.75" customHeight="1">
      <c r="G450"/>
    </row>
    <row r="451" spans="7:7" ht="15.75" customHeight="1">
      <c r="G451"/>
    </row>
    <row r="452" spans="7:7" ht="15.75" customHeight="1">
      <c r="G452"/>
    </row>
    <row r="453" spans="7:7" ht="15.75" customHeight="1">
      <c r="G453"/>
    </row>
    <row r="454" spans="7:7" ht="15.75" customHeight="1">
      <c r="G454"/>
    </row>
    <row r="455" spans="7:7" ht="15.75" customHeight="1">
      <c r="G455"/>
    </row>
    <row r="456" spans="7:7" ht="15.75" customHeight="1">
      <c r="G456"/>
    </row>
    <row r="457" spans="7:7" ht="15.75" customHeight="1">
      <c r="G457"/>
    </row>
    <row r="458" spans="7:7" ht="15.75" customHeight="1">
      <c r="G458"/>
    </row>
    <row r="459" spans="7:7" ht="15.75" customHeight="1">
      <c r="G459"/>
    </row>
    <row r="460" spans="7:7" ht="15.75" customHeight="1">
      <c r="G460"/>
    </row>
    <row r="461" spans="7:7" ht="15.75" customHeight="1">
      <c r="G461"/>
    </row>
    <row r="462" spans="7:7" ht="15.75" customHeight="1">
      <c r="G462"/>
    </row>
    <row r="463" spans="7:7" ht="15.75" customHeight="1">
      <c r="G463"/>
    </row>
    <row r="464" spans="7:7" ht="15.75" customHeight="1">
      <c r="G464"/>
    </row>
    <row r="465" spans="7:7" ht="15.75" customHeight="1">
      <c r="G465"/>
    </row>
    <row r="466" spans="7:7" ht="15.75" customHeight="1">
      <c r="G466"/>
    </row>
    <row r="467" spans="7:7" ht="15.75" customHeight="1">
      <c r="G467"/>
    </row>
    <row r="468" spans="7:7" ht="15.75" customHeight="1">
      <c r="G468"/>
    </row>
    <row r="469" spans="7:7" ht="15.75" customHeight="1">
      <c r="G469"/>
    </row>
    <row r="470" spans="7:7" ht="15.75" customHeight="1">
      <c r="G470"/>
    </row>
    <row r="471" spans="7:7" ht="15.75" customHeight="1">
      <c r="G471"/>
    </row>
    <row r="472" spans="7:7" ht="15.75" customHeight="1">
      <c r="G472"/>
    </row>
    <row r="473" spans="7:7" ht="15.75" customHeight="1">
      <c r="G473"/>
    </row>
    <row r="474" spans="7:7" ht="15.75" customHeight="1">
      <c r="G474"/>
    </row>
    <row r="475" spans="7:7" ht="15.75" customHeight="1">
      <c r="G475"/>
    </row>
    <row r="476" spans="7:7" ht="15.75" customHeight="1">
      <c r="G476"/>
    </row>
    <row r="477" spans="7:7" ht="15.75" customHeight="1">
      <c r="G477"/>
    </row>
    <row r="478" spans="7:7" ht="15.75" customHeight="1">
      <c r="G478"/>
    </row>
    <row r="479" spans="7:7" ht="15.75" customHeight="1">
      <c r="G479"/>
    </row>
    <row r="480" spans="7:7" ht="15.75" customHeight="1">
      <c r="G480"/>
    </row>
    <row r="481" spans="7:7" ht="15.75" customHeight="1">
      <c r="G481"/>
    </row>
    <row r="482" spans="7:7" ht="15.75" customHeight="1">
      <c r="G482"/>
    </row>
    <row r="483" spans="7:7" ht="15.75" customHeight="1">
      <c r="G483"/>
    </row>
    <row r="484" spans="7:7" ht="15.75" customHeight="1">
      <c r="G484"/>
    </row>
    <row r="485" spans="7:7" ht="15.75" customHeight="1">
      <c r="G485"/>
    </row>
    <row r="486" spans="7:7" ht="15.75" customHeight="1">
      <c r="G486"/>
    </row>
    <row r="487" spans="7:7" ht="15.75" customHeight="1">
      <c r="G487"/>
    </row>
    <row r="488" spans="7:7" ht="15.75" customHeight="1">
      <c r="G488"/>
    </row>
    <row r="489" spans="7:7" ht="15.75" customHeight="1">
      <c r="G489"/>
    </row>
    <row r="490" spans="7:7" ht="15.75" customHeight="1">
      <c r="G490"/>
    </row>
    <row r="491" spans="7:7" ht="15.75" customHeight="1">
      <c r="G491"/>
    </row>
    <row r="492" spans="7:7" ht="15.75" customHeight="1">
      <c r="G492"/>
    </row>
    <row r="493" spans="7:7" ht="15.75" customHeight="1">
      <c r="G493"/>
    </row>
    <row r="494" spans="7:7" ht="15.75" customHeight="1">
      <c r="G494"/>
    </row>
    <row r="495" spans="7:7" ht="15.75" customHeight="1">
      <c r="G495"/>
    </row>
    <row r="496" spans="7:7" ht="15.75" customHeight="1">
      <c r="G496"/>
    </row>
    <row r="497" spans="7:7" ht="15.75" customHeight="1">
      <c r="G497"/>
    </row>
    <row r="498" spans="7:7" ht="15.75" customHeight="1">
      <c r="G498"/>
    </row>
    <row r="499" spans="7:7" ht="15.75" customHeight="1">
      <c r="G499"/>
    </row>
    <row r="500" spans="7:7" ht="15.75" customHeight="1">
      <c r="G500"/>
    </row>
    <row r="501" spans="7:7" ht="15.75" customHeight="1">
      <c r="G501"/>
    </row>
    <row r="502" spans="7:7" ht="15.75" customHeight="1">
      <c r="G502"/>
    </row>
    <row r="503" spans="7:7" ht="15.75" customHeight="1">
      <c r="G503"/>
    </row>
    <row r="504" spans="7:7" ht="15.75" customHeight="1">
      <c r="G504"/>
    </row>
    <row r="505" spans="7:7" ht="15.75" customHeight="1">
      <c r="G505"/>
    </row>
    <row r="506" spans="7:7" ht="15.75" customHeight="1">
      <c r="G506"/>
    </row>
    <row r="507" spans="7:7" ht="15.75" customHeight="1">
      <c r="G507"/>
    </row>
    <row r="508" spans="7:7" ht="15.75" customHeight="1">
      <c r="G508"/>
    </row>
    <row r="509" spans="7:7" ht="15.75" customHeight="1">
      <c r="G509"/>
    </row>
    <row r="510" spans="7:7" ht="15.75" customHeight="1">
      <c r="G510"/>
    </row>
    <row r="511" spans="7:7" ht="15.75" customHeight="1">
      <c r="G511"/>
    </row>
    <row r="512" spans="7:7" ht="15.75" customHeight="1">
      <c r="G512"/>
    </row>
    <row r="513" spans="7:7" ht="15.75" customHeight="1">
      <c r="G513"/>
    </row>
    <row r="514" spans="7:7" ht="15.75" customHeight="1">
      <c r="G514"/>
    </row>
    <row r="515" spans="7:7" ht="15.75" customHeight="1">
      <c r="G515"/>
    </row>
    <row r="516" spans="7:7" ht="15.75" customHeight="1">
      <c r="G516"/>
    </row>
    <row r="517" spans="7:7" ht="15.75" customHeight="1">
      <c r="G517"/>
    </row>
    <row r="518" spans="7:7" ht="15.75" customHeight="1">
      <c r="G518"/>
    </row>
    <row r="519" spans="7:7" ht="15.75" customHeight="1">
      <c r="G519"/>
    </row>
    <row r="520" spans="7:7" ht="15.75" customHeight="1">
      <c r="G520"/>
    </row>
    <row r="521" spans="7:7" ht="15.75" customHeight="1">
      <c r="G521"/>
    </row>
    <row r="522" spans="7:7" ht="15.75" customHeight="1">
      <c r="G522"/>
    </row>
    <row r="523" spans="7:7" ht="15.75" customHeight="1">
      <c r="G523"/>
    </row>
    <row r="524" spans="7:7" ht="15.75" customHeight="1">
      <c r="G524"/>
    </row>
    <row r="525" spans="7:7" ht="15.75" customHeight="1">
      <c r="G525"/>
    </row>
    <row r="526" spans="7:7" ht="15.75" customHeight="1">
      <c r="G526"/>
    </row>
    <row r="527" spans="7:7" ht="15.75" customHeight="1">
      <c r="G527"/>
    </row>
    <row r="528" spans="7:7" ht="15.75" customHeight="1">
      <c r="G528"/>
    </row>
    <row r="529" spans="7:7" ht="15.75" customHeight="1">
      <c r="G529"/>
    </row>
    <row r="530" spans="7:7" ht="15.75" customHeight="1">
      <c r="G530"/>
    </row>
    <row r="531" spans="7:7" ht="15.75" customHeight="1">
      <c r="G531"/>
    </row>
    <row r="532" spans="7:7" ht="15.75" customHeight="1">
      <c r="G532"/>
    </row>
    <row r="533" spans="7:7" ht="15.75" customHeight="1">
      <c r="G533"/>
    </row>
    <row r="534" spans="7:7" ht="15.75" customHeight="1">
      <c r="G534"/>
    </row>
    <row r="535" spans="7:7" ht="15.75" customHeight="1">
      <c r="G535"/>
    </row>
    <row r="536" spans="7:7" ht="15.75" customHeight="1">
      <c r="G536"/>
    </row>
    <row r="537" spans="7:7" ht="15.75" customHeight="1">
      <c r="G537"/>
    </row>
    <row r="538" spans="7:7" ht="15.75" customHeight="1">
      <c r="G538"/>
    </row>
    <row r="539" spans="7:7" ht="15.75" customHeight="1">
      <c r="G539"/>
    </row>
    <row r="540" spans="7:7" ht="15.75" customHeight="1">
      <c r="G540"/>
    </row>
    <row r="541" spans="7:7" ht="15.75" customHeight="1">
      <c r="G541"/>
    </row>
    <row r="542" spans="7:7" ht="15.75" customHeight="1">
      <c r="G542"/>
    </row>
    <row r="543" spans="7:7" ht="15.75" customHeight="1">
      <c r="G543"/>
    </row>
    <row r="544" spans="7:7" ht="15.75" customHeight="1">
      <c r="G544"/>
    </row>
    <row r="545" spans="7:7" ht="15.75" customHeight="1">
      <c r="G545"/>
    </row>
    <row r="546" spans="7:7" ht="15.75" customHeight="1">
      <c r="G546"/>
    </row>
    <row r="547" spans="7:7" ht="15.75" customHeight="1">
      <c r="G547"/>
    </row>
    <row r="548" spans="7:7" ht="15.75" customHeight="1">
      <c r="G548"/>
    </row>
    <row r="549" spans="7:7" ht="15.75" customHeight="1">
      <c r="G549"/>
    </row>
    <row r="550" spans="7:7" ht="15.75" customHeight="1">
      <c r="G550"/>
    </row>
    <row r="551" spans="7:7" ht="15.75" customHeight="1">
      <c r="G551"/>
    </row>
    <row r="552" spans="7:7" ht="15.75" customHeight="1">
      <c r="G552"/>
    </row>
    <row r="553" spans="7:7" ht="15.75" customHeight="1">
      <c r="G553"/>
    </row>
    <row r="554" spans="7:7" ht="15.75" customHeight="1">
      <c r="G554"/>
    </row>
    <row r="555" spans="7:7" ht="15.75" customHeight="1">
      <c r="G555"/>
    </row>
    <row r="556" spans="7:7" ht="15.75" customHeight="1">
      <c r="G556"/>
    </row>
    <row r="557" spans="7:7" ht="15.75" customHeight="1">
      <c r="G557"/>
    </row>
    <row r="558" spans="7:7" ht="15.75" customHeight="1">
      <c r="G558"/>
    </row>
    <row r="559" spans="7:7" ht="15.75" customHeight="1">
      <c r="G559"/>
    </row>
    <row r="560" spans="7:7" ht="15.75" customHeight="1">
      <c r="G560"/>
    </row>
    <row r="561" spans="7:7" ht="15.75" customHeight="1">
      <c r="G561"/>
    </row>
    <row r="562" spans="7:7" ht="15.75" customHeight="1">
      <c r="G562"/>
    </row>
    <row r="563" spans="7:7" ht="15.75" customHeight="1">
      <c r="G563"/>
    </row>
    <row r="564" spans="7:7" ht="15.75" customHeight="1">
      <c r="G564"/>
    </row>
    <row r="565" spans="7:7" ht="15.75" customHeight="1">
      <c r="G565"/>
    </row>
    <row r="566" spans="7:7" ht="15.75" customHeight="1">
      <c r="G566"/>
    </row>
    <row r="567" spans="7:7" ht="15.75" customHeight="1">
      <c r="G567"/>
    </row>
    <row r="568" spans="7:7" ht="15.75" customHeight="1">
      <c r="G568"/>
    </row>
    <row r="569" spans="7:7" ht="15.75" customHeight="1">
      <c r="G569"/>
    </row>
    <row r="570" spans="7:7" ht="15.75" customHeight="1">
      <c r="G570"/>
    </row>
    <row r="571" spans="7:7" ht="15.75" customHeight="1">
      <c r="G571"/>
    </row>
    <row r="572" spans="7:7" ht="15.75" customHeight="1">
      <c r="G572"/>
    </row>
    <row r="573" spans="7:7" ht="15.75" customHeight="1">
      <c r="G573"/>
    </row>
    <row r="574" spans="7:7" ht="15.75" customHeight="1">
      <c r="G574"/>
    </row>
    <row r="575" spans="7:7" ht="15.75" customHeight="1">
      <c r="G575"/>
    </row>
    <row r="576" spans="7:7" ht="15.75" customHeight="1">
      <c r="G576"/>
    </row>
    <row r="577" spans="7:7" ht="15.75" customHeight="1">
      <c r="G577"/>
    </row>
    <row r="578" spans="7:7" ht="15.75" customHeight="1">
      <c r="G578"/>
    </row>
    <row r="579" spans="7:7" ht="15.75" customHeight="1">
      <c r="G579"/>
    </row>
    <row r="580" spans="7:7" ht="15.75" customHeight="1">
      <c r="G580"/>
    </row>
    <row r="581" spans="7:7" ht="15.75" customHeight="1">
      <c r="G581"/>
    </row>
    <row r="582" spans="7:7" ht="15.75" customHeight="1">
      <c r="G582"/>
    </row>
    <row r="583" spans="7:7" ht="15.75" customHeight="1">
      <c r="G583"/>
    </row>
    <row r="584" spans="7:7" ht="15.75" customHeight="1">
      <c r="G584"/>
    </row>
    <row r="585" spans="7:7" ht="15.75" customHeight="1">
      <c r="G585"/>
    </row>
    <row r="586" spans="7:7" ht="15.75" customHeight="1">
      <c r="G586"/>
    </row>
    <row r="587" spans="7:7" ht="15.75" customHeight="1">
      <c r="G587"/>
    </row>
    <row r="588" spans="7:7" ht="15.75" customHeight="1">
      <c r="G588"/>
    </row>
    <row r="589" spans="7:7" ht="15.75" customHeight="1">
      <c r="G589"/>
    </row>
    <row r="590" spans="7:7" ht="15.75" customHeight="1">
      <c r="G590"/>
    </row>
    <row r="591" spans="7:7" ht="15.75" customHeight="1">
      <c r="G591"/>
    </row>
    <row r="592" spans="7:7" ht="15.75" customHeight="1">
      <c r="G592"/>
    </row>
    <row r="593" spans="7:7" ht="15.75" customHeight="1">
      <c r="G593"/>
    </row>
    <row r="594" spans="7:7" ht="15.75" customHeight="1">
      <c r="G594"/>
    </row>
    <row r="595" spans="7:7" ht="15.75" customHeight="1">
      <c r="G595"/>
    </row>
    <row r="596" spans="7:7" ht="15.75" customHeight="1">
      <c r="G596"/>
    </row>
    <row r="597" spans="7:7" ht="15.75" customHeight="1">
      <c r="G597"/>
    </row>
    <row r="598" spans="7:7" ht="15.75" customHeight="1">
      <c r="G598"/>
    </row>
    <row r="599" spans="7:7" ht="15.75" customHeight="1">
      <c r="G599"/>
    </row>
    <row r="600" spans="7:7" ht="15.75" customHeight="1">
      <c r="G600"/>
    </row>
    <row r="601" spans="7:7" ht="15.75" customHeight="1">
      <c r="G601"/>
    </row>
    <row r="602" spans="7:7" ht="15.75" customHeight="1">
      <c r="G602"/>
    </row>
    <row r="603" spans="7:7" ht="15.75" customHeight="1">
      <c r="G603"/>
    </row>
    <row r="604" spans="7:7" ht="15.75" customHeight="1">
      <c r="G604"/>
    </row>
    <row r="605" spans="7:7" ht="15.75" customHeight="1">
      <c r="G605"/>
    </row>
    <row r="606" spans="7:7" ht="15.75" customHeight="1">
      <c r="G606"/>
    </row>
    <row r="607" spans="7:7" ht="15.75" customHeight="1">
      <c r="G607"/>
    </row>
    <row r="608" spans="7:7" ht="15.75" customHeight="1">
      <c r="G608"/>
    </row>
    <row r="609" spans="7:7" ht="15.75" customHeight="1">
      <c r="G609"/>
    </row>
    <row r="610" spans="7:7" ht="15.75" customHeight="1">
      <c r="G610"/>
    </row>
    <row r="611" spans="7:7" ht="15.75" customHeight="1">
      <c r="G611"/>
    </row>
    <row r="612" spans="7:7" ht="15.75" customHeight="1">
      <c r="G612"/>
    </row>
    <row r="613" spans="7:7" ht="15.75" customHeight="1">
      <c r="G613"/>
    </row>
    <row r="614" spans="7:7" ht="15.75" customHeight="1">
      <c r="G614"/>
    </row>
    <row r="615" spans="7:7" ht="15.75" customHeight="1">
      <c r="G615"/>
    </row>
    <row r="616" spans="7:7" ht="15.75" customHeight="1">
      <c r="G616"/>
    </row>
    <row r="617" spans="7:7" ht="15.75" customHeight="1">
      <c r="G617"/>
    </row>
    <row r="618" spans="7:7" ht="15.75" customHeight="1">
      <c r="G618"/>
    </row>
    <row r="619" spans="7:7" ht="15.75" customHeight="1">
      <c r="G619"/>
    </row>
    <row r="620" spans="7:7" ht="15.75" customHeight="1">
      <c r="G620"/>
    </row>
    <row r="621" spans="7:7" ht="15.75" customHeight="1">
      <c r="G621"/>
    </row>
    <row r="622" spans="7:7" ht="15.75" customHeight="1">
      <c r="G622"/>
    </row>
    <row r="623" spans="7:7" ht="15.75" customHeight="1">
      <c r="G623"/>
    </row>
    <row r="624" spans="7:7" ht="15.75" customHeight="1">
      <c r="G624"/>
    </row>
    <row r="625" spans="7:7" ht="15.75" customHeight="1">
      <c r="G625"/>
    </row>
    <row r="626" spans="7:7" ht="15.75" customHeight="1">
      <c r="G626"/>
    </row>
    <row r="627" spans="7:7" ht="15.75" customHeight="1">
      <c r="G627"/>
    </row>
    <row r="628" spans="7:7" ht="15.75" customHeight="1">
      <c r="G628"/>
    </row>
    <row r="629" spans="7:7" ht="15.75" customHeight="1">
      <c r="G629"/>
    </row>
    <row r="630" spans="7:7" ht="15.75" customHeight="1">
      <c r="G630"/>
    </row>
    <row r="631" spans="7:7" ht="15.75" customHeight="1">
      <c r="G631"/>
    </row>
    <row r="632" spans="7:7" ht="15.75" customHeight="1">
      <c r="G632"/>
    </row>
    <row r="633" spans="7:7" ht="15.75" customHeight="1">
      <c r="G633"/>
    </row>
    <row r="634" spans="7:7" ht="15.75" customHeight="1">
      <c r="G634"/>
    </row>
    <row r="635" spans="7:7" ht="15.75" customHeight="1">
      <c r="G635"/>
    </row>
    <row r="636" spans="7:7" ht="15.75" customHeight="1">
      <c r="G636"/>
    </row>
    <row r="637" spans="7:7" ht="15.75" customHeight="1">
      <c r="G637"/>
    </row>
    <row r="638" spans="7:7" ht="15.75" customHeight="1">
      <c r="G638"/>
    </row>
    <row r="639" spans="7:7" ht="15.75" customHeight="1">
      <c r="G639"/>
    </row>
    <row r="640" spans="7:7" ht="15.75" customHeight="1">
      <c r="G640"/>
    </row>
    <row r="641" spans="7:7" ht="15.75" customHeight="1">
      <c r="G641"/>
    </row>
    <row r="642" spans="7:7" ht="15.75" customHeight="1">
      <c r="G642"/>
    </row>
    <row r="643" spans="7:7" ht="15.75" customHeight="1">
      <c r="G643"/>
    </row>
    <row r="644" spans="7:7" ht="15.75" customHeight="1">
      <c r="G644"/>
    </row>
    <row r="645" spans="7:7" ht="15.75" customHeight="1">
      <c r="G645"/>
    </row>
    <row r="646" spans="7:7" ht="15.75" customHeight="1">
      <c r="G646"/>
    </row>
    <row r="647" spans="7:7" ht="15.75" customHeight="1">
      <c r="G647"/>
    </row>
    <row r="648" spans="7:7" ht="15.75" customHeight="1">
      <c r="G648"/>
    </row>
    <row r="649" spans="7:7" ht="15.75" customHeight="1">
      <c r="G649"/>
    </row>
    <row r="650" spans="7:7" ht="15.75" customHeight="1">
      <c r="G650"/>
    </row>
    <row r="651" spans="7:7" ht="15.75" customHeight="1">
      <c r="G651"/>
    </row>
    <row r="652" spans="7:7" ht="15.75" customHeight="1">
      <c r="G652"/>
    </row>
    <row r="653" spans="7:7" ht="15.75" customHeight="1">
      <c r="G653"/>
    </row>
    <row r="654" spans="7:7" ht="15.75" customHeight="1">
      <c r="G654"/>
    </row>
    <row r="655" spans="7:7" ht="15.75" customHeight="1">
      <c r="G655"/>
    </row>
    <row r="656" spans="7:7" ht="15.75" customHeight="1">
      <c r="G656"/>
    </row>
    <row r="657" spans="7:7" ht="15.75" customHeight="1">
      <c r="G657"/>
    </row>
    <row r="658" spans="7:7" ht="15.75" customHeight="1">
      <c r="G658"/>
    </row>
    <row r="659" spans="7:7" ht="15.75" customHeight="1">
      <c r="G659"/>
    </row>
    <row r="660" spans="7:7" ht="15.75" customHeight="1">
      <c r="G660"/>
    </row>
    <row r="661" spans="7:7" ht="15.75" customHeight="1">
      <c r="G661"/>
    </row>
    <row r="662" spans="7:7" ht="15.75" customHeight="1">
      <c r="G662"/>
    </row>
    <row r="663" spans="7:7" ht="15.75" customHeight="1">
      <c r="G663"/>
    </row>
    <row r="664" spans="7:7" ht="15.75" customHeight="1">
      <c r="G664"/>
    </row>
    <row r="665" spans="7:7" ht="15.75" customHeight="1">
      <c r="G665"/>
    </row>
    <row r="666" spans="7:7" ht="15.75" customHeight="1">
      <c r="G666"/>
    </row>
    <row r="667" spans="7:7" ht="15.75" customHeight="1">
      <c r="G667"/>
    </row>
    <row r="668" spans="7:7" ht="15.75" customHeight="1">
      <c r="G668"/>
    </row>
    <row r="669" spans="7:7" ht="15.75" customHeight="1">
      <c r="G669"/>
    </row>
    <row r="670" spans="7:7" ht="15.75" customHeight="1">
      <c r="G670"/>
    </row>
    <row r="671" spans="7:7" ht="15.75" customHeight="1">
      <c r="G671"/>
    </row>
    <row r="672" spans="7:7" ht="15.75" customHeight="1">
      <c r="G672"/>
    </row>
    <row r="673" spans="7:7" ht="15.75" customHeight="1">
      <c r="G673"/>
    </row>
    <row r="674" spans="7:7" ht="15.75" customHeight="1">
      <c r="G674"/>
    </row>
    <row r="675" spans="7:7" ht="15.75" customHeight="1">
      <c r="G675"/>
    </row>
    <row r="676" spans="7:7" ht="15.75" customHeight="1">
      <c r="G676"/>
    </row>
    <row r="677" spans="7:7" ht="15.75" customHeight="1">
      <c r="G677"/>
    </row>
    <row r="678" spans="7:7" ht="15.75" customHeight="1">
      <c r="G678"/>
    </row>
    <row r="679" spans="7:7" ht="15.75" customHeight="1">
      <c r="G679"/>
    </row>
    <row r="680" spans="7:7" ht="15.75" customHeight="1">
      <c r="G680"/>
    </row>
    <row r="681" spans="7:7" ht="15.75" customHeight="1">
      <c r="G681"/>
    </row>
    <row r="682" spans="7:7" ht="15.75" customHeight="1">
      <c r="G682"/>
    </row>
    <row r="683" spans="7:7" ht="15.75" customHeight="1">
      <c r="G683"/>
    </row>
    <row r="684" spans="7:7" ht="15.75" customHeight="1">
      <c r="G684"/>
    </row>
    <row r="685" spans="7:7" ht="15.75" customHeight="1">
      <c r="G685"/>
    </row>
    <row r="686" spans="7:7" ht="15.75" customHeight="1">
      <c r="G686"/>
    </row>
    <row r="687" spans="7:7" ht="15.75" customHeight="1">
      <c r="G687"/>
    </row>
    <row r="688" spans="7:7" ht="15.75" customHeight="1">
      <c r="G688"/>
    </row>
    <row r="689" spans="7:7" ht="15.75" customHeight="1">
      <c r="G689"/>
    </row>
    <row r="690" spans="7:7" ht="15.75" customHeight="1">
      <c r="G690"/>
    </row>
    <row r="691" spans="7:7" ht="15.75" customHeight="1">
      <c r="G691"/>
    </row>
    <row r="692" spans="7:7" ht="15.75" customHeight="1">
      <c r="G692"/>
    </row>
    <row r="693" spans="7:7" ht="15.75" customHeight="1">
      <c r="G693"/>
    </row>
    <row r="694" spans="7:7" ht="15.75" customHeight="1">
      <c r="G694"/>
    </row>
    <row r="695" spans="7:7" ht="15.75" customHeight="1">
      <c r="G695"/>
    </row>
    <row r="696" spans="7:7" ht="15.75" customHeight="1">
      <c r="G696"/>
    </row>
    <row r="697" spans="7:7" ht="15.75" customHeight="1">
      <c r="G697"/>
    </row>
    <row r="698" spans="7:7" ht="15.75" customHeight="1">
      <c r="G698"/>
    </row>
    <row r="699" spans="7:7" ht="15.75" customHeight="1">
      <c r="G699"/>
    </row>
    <row r="700" spans="7:7" ht="15.75" customHeight="1">
      <c r="G700"/>
    </row>
    <row r="701" spans="7:7" ht="15.75" customHeight="1">
      <c r="G701"/>
    </row>
    <row r="702" spans="7:7" ht="15.75" customHeight="1">
      <c r="G702"/>
    </row>
    <row r="703" spans="7:7" ht="15.75" customHeight="1">
      <c r="G703"/>
    </row>
    <row r="704" spans="7:7" ht="15.75" customHeight="1">
      <c r="G704"/>
    </row>
    <row r="705" spans="7:7" ht="15.75" customHeight="1">
      <c r="G705"/>
    </row>
    <row r="706" spans="7:7" ht="15.75" customHeight="1">
      <c r="G706"/>
    </row>
    <row r="707" spans="7:7" ht="15.75" customHeight="1">
      <c r="G707"/>
    </row>
    <row r="708" spans="7:7" ht="15.75" customHeight="1">
      <c r="G708"/>
    </row>
    <row r="709" spans="7:7" ht="15.75" customHeight="1">
      <c r="G709"/>
    </row>
    <row r="710" spans="7:7" ht="15.75" customHeight="1">
      <c r="G710"/>
    </row>
    <row r="711" spans="7:7" ht="15.75" customHeight="1">
      <c r="G711"/>
    </row>
    <row r="712" spans="7:7" ht="15.75" customHeight="1">
      <c r="G712"/>
    </row>
    <row r="713" spans="7:7" ht="15.75" customHeight="1">
      <c r="G713"/>
    </row>
    <row r="714" spans="7:7" ht="15.75" customHeight="1">
      <c r="G714"/>
    </row>
    <row r="715" spans="7:7" ht="15.75" customHeight="1">
      <c r="G715"/>
    </row>
    <row r="716" spans="7:7" ht="15.75" customHeight="1">
      <c r="G716"/>
    </row>
    <row r="717" spans="7:7" ht="15.75" customHeight="1">
      <c r="G717"/>
    </row>
    <row r="718" spans="7:7" ht="15.75" customHeight="1">
      <c r="G718"/>
    </row>
    <row r="719" spans="7:7" ht="15.75" customHeight="1">
      <c r="G719"/>
    </row>
    <row r="720" spans="7:7" ht="15.75" customHeight="1">
      <c r="G720"/>
    </row>
    <row r="721" spans="7:7" ht="15.75" customHeight="1">
      <c r="G721"/>
    </row>
    <row r="722" spans="7:7" ht="15.75" customHeight="1">
      <c r="G722"/>
    </row>
    <row r="723" spans="7:7" ht="15.75" customHeight="1">
      <c r="G723"/>
    </row>
    <row r="724" spans="7:7" ht="15.75" customHeight="1">
      <c r="G724"/>
    </row>
    <row r="725" spans="7:7" ht="15.75" customHeight="1">
      <c r="G725"/>
    </row>
    <row r="726" spans="7:7" ht="15.75" customHeight="1">
      <c r="G726"/>
    </row>
    <row r="727" spans="7:7" ht="15.75" customHeight="1">
      <c r="G727"/>
    </row>
    <row r="728" spans="7:7" ht="15.75" customHeight="1">
      <c r="G728"/>
    </row>
    <row r="729" spans="7:7" ht="15.75" customHeight="1">
      <c r="G729"/>
    </row>
    <row r="730" spans="7:7" ht="15.75" customHeight="1">
      <c r="G730"/>
    </row>
    <row r="731" spans="7:7" ht="15.75" customHeight="1">
      <c r="G731"/>
    </row>
    <row r="732" spans="7:7" ht="15.75" customHeight="1">
      <c r="G732"/>
    </row>
    <row r="733" spans="7:7" ht="15.75" customHeight="1">
      <c r="G733"/>
    </row>
    <row r="734" spans="7:7" ht="15.75" customHeight="1">
      <c r="G734"/>
    </row>
    <row r="735" spans="7:7" ht="15.75" customHeight="1">
      <c r="G735"/>
    </row>
    <row r="736" spans="7:7" ht="15.75" customHeight="1">
      <c r="G736"/>
    </row>
    <row r="737" spans="7:7" ht="15.75" customHeight="1">
      <c r="G737"/>
    </row>
    <row r="738" spans="7:7" ht="15.75" customHeight="1">
      <c r="G738"/>
    </row>
    <row r="739" spans="7:7" ht="15.75" customHeight="1">
      <c r="G739"/>
    </row>
    <row r="740" spans="7:7" ht="15.75" customHeight="1">
      <c r="G740"/>
    </row>
    <row r="741" spans="7:7" ht="15.75" customHeight="1">
      <c r="G741"/>
    </row>
    <row r="742" spans="7:7" ht="15.75" customHeight="1">
      <c r="G742"/>
    </row>
    <row r="743" spans="7:7" ht="15.75" customHeight="1">
      <c r="G743"/>
    </row>
    <row r="744" spans="7:7" ht="15.75" customHeight="1">
      <c r="G744"/>
    </row>
    <row r="745" spans="7:7" ht="15.75" customHeight="1">
      <c r="G745"/>
    </row>
    <row r="746" spans="7:7" ht="15.75" customHeight="1">
      <c r="G746"/>
    </row>
    <row r="747" spans="7:7" ht="15.75" customHeight="1">
      <c r="G747"/>
    </row>
    <row r="748" spans="7:7" ht="15.75" customHeight="1">
      <c r="G748"/>
    </row>
    <row r="749" spans="7:7" ht="15.75" customHeight="1">
      <c r="G749"/>
    </row>
    <row r="750" spans="7:7" ht="15.75" customHeight="1">
      <c r="G750"/>
    </row>
    <row r="751" spans="7:7" ht="15.75" customHeight="1">
      <c r="G751"/>
    </row>
    <row r="752" spans="7:7" ht="15.75" customHeight="1">
      <c r="G752"/>
    </row>
    <row r="753" spans="7:7" ht="15.75" customHeight="1">
      <c r="G753"/>
    </row>
    <row r="754" spans="7:7" ht="15.75" customHeight="1">
      <c r="G754"/>
    </row>
    <row r="755" spans="7:7" ht="15.75" customHeight="1">
      <c r="G755"/>
    </row>
    <row r="756" spans="7:7" ht="15.75" customHeight="1">
      <c r="G756"/>
    </row>
    <row r="757" spans="7:7" ht="15.75" customHeight="1">
      <c r="G757"/>
    </row>
    <row r="758" spans="7:7" ht="15.75" customHeight="1">
      <c r="G758"/>
    </row>
    <row r="759" spans="7:7" ht="15.75" customHeight="1">
      <c r="G759"/>
    </row>
    <row r="760" spans="7:7" ht="15.75" customHeight="1">
      <c r="G760"/>
    </row>
    <row r="761" spans="7:7" ht="15.75" customHeight="1">
      <c r="G761"/>
    </row>
    <row r="762" spans="7:7" ht="15.75" customHeight="1">
      <c r="G762"/>
    </row>
    <row r="763" spans="7:7" ht="15.75" customHeight="1">
      <c r="G763"/>
    </row>
    <row r="764" spans="7:7" ht="15.75" customHeight="1">
      <c r="G764"/>
    </row>
    <row r="765" spans="7:7" ht="15.75" customHeight="1">
      <c r="G765"/>
    </row>
    <row r="766" spans="7:7" ht="15.75" customHeight="1">
      <c r="G766"/>
    </row>
    <row r="767" spans="7:7" ht="15.75" customHeight="1">
      <c r="G767"/>
    </row>
    <row r="768" spans="7:7" ht="15.75" customHeight="1">
      <c r="G768"/>
    </row>
    <row r="769" spans="7:7" ht="15.75" customHeight="1">
      <c r="G769"/>
    </row>
    <row r="770" spans="7:7" ht="15.75" customHeight="1">
      <c r="G770"/>
    </row>
    <row r="771" spans="7:7" ht="15.75" customHeight="1">
      <c r="G771"/>
    </row>
    <row r="772" spans="7:7" ht="15.75" customHeight="1">
      <c r="G772"/>
    </row>
    <row r="773" spans="7:7" ht="15.75" customHeight="1">
      <c r="G773"/>
    </row>
    <row r="774" spans="7:7" ht="15.75" customHeight="1">
      <c r="G774"/>
    </row>
    <row r="775" spans="7:7" ht="15.75" customHeight="1">
      <c r="G775"/>
    </row>
    <row r="776" spans="7:7" ht="15.75" customHeight="1">
      <c r="G776"/>
    </row>
    <row r="777" spans="7:7" ht="15.75" customHeight="1">
      <c r="G777"/>
    </row>
    <row r="778" spans="7:7" ht="15.75" customHeight="1">
      <c r="G778"/>
    </row>
    <row r="779" spans="7:7" ht="15.75" customHeight="1">
      <c r="G779"/>
    </row>
    <row r="780" spans="7:7" ht="15.75" customHeight="1">
      <c r="G780"/>
    </row>
    <row r="781" spans="7:7" ht="15.75" customHeight="1">
      <c r="G781"/>
    </row>
    <row r="782" spans="7:7" ht="15.75" customHeight="1">
      <c r="G782"/>
    </row>
    <row r="783" spans="7:7" ht="15.75" customHeight="1">
      <c r="G783"/>
    </row>
    <row r="784" spans="7:7" ht="15.75" customHeight="1">
      <c r="G784"/>
    </row>
    <row r="785" spans="7:7" ht="15.75" customHeight="1">
      <c r="G785"/>
    </row>
    <row r="786" spans="7:7" ht="15.75" customHeight="1">
      <c r="G786"/>
    </row>
    <row r="787" spans="7:7" ht="15.75" customHeight="1">
      <c r="G787"/>
    </row>
    <row r="788" spans="7:7" ht="15.75" customHeight="1">
      <c r="G788"/>
    </row>
    <row r="789" spans="7:7" ht="15.75" customHeight="1">
      <c r="G789"/>
    </row>
    <row r="790" spans="7:7" ht="15.75" customHeight="1">
      <c r="G790"/>
    </row>
    <row r="791" spans="7:7" ht="15.75" customHeight="1">
      <c r="G791"/>
    </row>
    <row r="792" spans="7:7" ht="15.75" customHeight="1">
      <c r="G792"/>
    </row>
    <row r="793" spans="7:7" ht="15.75" customHeight="1">
      <c r="G793"/>
    </row>
    <row r="794" spans="7:7" ht="15.75" customHeight="1">
      <c r="G794"/>
    </row>
    <row r="795" spans="7:7" ht="15.75" customHeight="1">
      <c r="G795"/>
    </row>
    <row r="796" spans="7:7" ht="15.75" customHeight="1">
      <c r="G796"/>
    </row>
    <row r="797" spans="7:7" ht="15.75" customHeight="1">
      <c r="G797"/>
    </row>
    <row r="798" spans="7:7" ht="15.75" customHeight="1">
      <c r="G798"/>
    </row>
    <row r="799" spans="7:7" ht="15.75" customHeight="1">
      <c r="G799"/>
    </row>
    <row r="800" spans="7:7" ht="15.75" customHeight="1">
      <c r="G800"/>
    </row>
    <row r="801" spans="7:7" ht="15.75" customHeight="1">
      <c r="G801"/>
    </row>
    <row r="802" spans="7:7" ht="15.75" customHeight="1">
      <c r="G802"/>
    </row>
    <row r="803" spans="7:7" ht="15.75" customHeight="1">
      <c r="G803"/>
    </row>
    <row r="804" spans="7:7" ht="15.75" customHeight="1">
      <c r="G804"/>
    </row>
    <row r="805" spans="7:7" ht="15.75" customHeight="1">
      <c r="G805"/>
    </row>
    <row r="806" spans="7:7" ht="15.75" customHeight="1">
      <c r="G806"/>
    </row>
    <row r="807" spans="7:7" ht="15.75" customHeight="1">
      <c r="G807"/>
    </row>
    <row r="808" spans="7:7" ht="15.75" customHeight="1">
      <c r="G808"/>
    </row>
    <row r="809" spans="7:7" ht="15.75" customHeight="1">
      <c r="G809"/>
    </row>
    <row r="810" spans="7:7" ht="15.75" customHeight="1">
      <c r="G810"/>
    </row>
    <row r="811" spans="7:7" ht="15.75" customHeight="1">
      <c r="G811"/>
    </row>
    <row r="812" spans="7:7" ht="15.75" customHeight="1">
      <c r="G812"/>
    </row>
    <row r="813" spans="7:7" ht="15.75" customHeight="1">
      <c r="G813"/>
    </row>
    <row r="814" spans="7:7" ht="15.75" customHeight="1">
      <c r="G814"/>
    </row>
    <row r="815" spans="7:7" ht="15.75" customHeight="1">
      <c r="G815"/>
    </row>
    <row r="816" spans="7:7" ht="15.75" customHeight="1">
      <c r="G816"/>
    </row>
    <row r="817" spans="7:7" ht="15.75" customHeight="1">
      <c r="G817"/>
    </row>
    <row r="818" spans="7:7" ht="15.75" customHeight="1">
      <c r="G818"/>
    </row>
    <row r="819" spans="7:7" ht="15.75" customHeight="1">
      <c r="G819"/>
    </row>
    <row r="820" spans="7:7" ht="15.75" customHeight="1">
      <c r="G820"/>
    </row>
    <row r="821" spans="7:7" ht="15.75" customHeight="1">
      <c r="G821"/>
    </row>
    <row r="822" spans="7:7" ht="15.75" customHeight="1">
      <c r="G822"/>
    </row>
    <row r="823" spans="7:7" ht="15.75" customHeight="1">
      <c r="G823"/>
    </row>
    <row r="824" spans="7:7" ht="15.75" customHeight="1">
      <c r="G824"/>
    </row>
    <row r="825" spans="7:7" ht="15.75" customHeight="1">
      <c r="G825"/>
    </row>
    <row r="826" spans="7:7" ht="15.75" customHeight="1">
      <c r="G826"/>
    </row>
    <row r="827" spans="7:7" ht="15.75" customHeight="1">
      <c r="G827"/>
    </row>
    <row r="828" spans="7:7" ht="15.75" customHeight="1">
      <c r="G828"/>
    </row>
    <row r="829" spans="7:7" ht="15.75" customHeight="1">
      <c r="G829"/>
    </row>
    <row r="830" spans="7:7" ht="15.75" customHeight="1">
      <c r="G830"/>
    </row>
    <row r="831" spans="7:7" ht="15.75" customHeight="1">
      <c r="G831"/>
    </row>
    <row r="832" spans="7:7" ht="15.75" customHeight="1">
      <c r="G832"/>
    </row>
    <row r="833" spans="7:7" ht="15.75" customHeight="1">
      <c r="G833"/>
    </row>
    <row r="834" spans="7:7" ht="15.75" customHeight="1">
      <c r="G834"/>
    </row>
    <row r="835" spans="7:7" ht="15.75" customHeight="1">
      <c r="G835"/>
    </row>
    <row r="836" spans="7:7" ht="15.75" customHeight="1">
      <c r="G836"/>
    </row>
    <row r="837" spans="7:7" ht="15.75" customHeight="1">
      <c r="G837"/>
    </row>
    <row r="838" spans="7:7" ht="15.75" customHeight="1">
      <c r="G838"/>
    </row>
    <row r="839" spans="7:7" ht="15.75" customHeight="1">
      <c r="G839"/>
    </row>
    <row r="840" spans="7:7" ht="15.75" customHeight="1">
      <c r="G840"/>
    </row>
    <row r="841" spans="7:7" ht="15.75" customHeight="1">
      <c r="G841"/>
    </row>
    <row r="842" spans="7:7" ht="15.75" customHeight="1">
      <c r="G842"/>
    </row>
    <row r="843" spans="7:7" ht="15.75" customHeight="1">
      <c r="G843"/>
    </row>
    <row r="844" spans="7:7" ht="15.75" customHeight="1">
      <c r="G844"/>
    </row>
    <row r="845" spans="7:7" ht="15.75" customHeight="1">
      <c r="G845"/>
    </row>
    <row r="846" spans="7:7" ht="15.75" customHeight="1">
      <c r="G846"/>
    </row>
    <row r="847" spans="7:7" ht="15.75" customHeight="1">
      <c r="G847"/>
    </row>
    <row r="848" spans="7:7" ht="15.75" customHeight="1">
      <c r="G848"/>
    </row>
    <row r="849" spans="7:7" ht="15.75" customHeight="1">
      <c r="G849"/>
    </row>
    <row r="850" spans="7:7" ht="15.75" customHeight="1">
      <c r="G850"/>
    </row>
    <row r="851" spans="7:7" ht="15.75" customHeight="1">
      <c r="G851"/>
    </row>
    <row r="852" spans="7:7" ht="15.75" customHeight="1">
      <c r="G852"/>
    </row>
    <row r="853" spans="7:7" ht="15.75" customHeight="1">
      <c r="G853"/>
    </row>
    <row r="854" spans="7:7" ht="15.75" customHeight="1">
      <c r="G854"/>
    </row>
    <row r="855" spans="7:7" ht="15.75" customHeight="1">
      <c r="G855"/>
    </row>
    <row r="856" spans="7:7" ht="15.75" customHeight="1">
      <c r="G856"/>
    </row>
    <row r="857" spans="7:7" ht="15.75" customHeight="1">
      <c r="G857"/>
    </row>
    <row r="858" spans="7:7" ht="15.75" customHeight="1">
      <c r="G858"/>
    </row>
    <row r="859" spans="7:7" ht="15.75" customHeight="1">
      <c r="G859"/>
    </row>
    <row r="860" spans="7:7" ht="15.75" customHeight="1">
      <c r="G860"/>
    </row>
    <row r="861" spans="7:7" ht="15.75" customHeight="1">
      <c r="G861"/>
    </row>
    <row r="862" spans="7:7" ht="15.75" customHeight="1">
      <c r="G862"/>
    </row>
    <row r="863" spans="7:7" ht="15.75" customHeight="1">
      <c r="G863"/>
    </row>
    <row r="864" spans="7:7" ht="15.75" customHeight="1">
      <c r="G864"/>
    </row>
    <row r="865" spans="7:7" ht="15.75" customHeight="1">
      <c r="G865"/>
    </row>
    <row r="866" spans="7:7" ht="15.75" customHeight="1">
      <c r="G866"/>
    </row>
    <row r="867" spans="7:7" ht="15.75" customHeight="1">
      <c r="G867"/>
    </row>
    <row r="868" spans="7:7" ht="15.75" customHeight="1">
      <c r="G868"/>
    </row>
    <row r="869" spans="7:7" ht="15.75" customHeight="1">
      <c r="G869"/>
    </row>
    <row r="870" spans="7:7" ht="15.75" customHeight="1">
      <c r="G870"/>
    </row>
    <row r="871" spans="7:7" ht="15.75" customHeight="1">
      <c r="G871"/>
    </row>
    <row r="872" spans="7:7" ht="15.75" customHeight="1">
      <c r="G872"/>
    </row>
    <row r="873" spans="7:7" ht="15.75" customHeight="1">
      <c r="G873"/>
    </row>
    <row r="874" spans="7:7" ht="15.75" customHeight="1">
      <c r="G874"/>
    </row>
    <row r="875" spans="7:7" ht="15.75" customHeight="1">
      <c r="G875"/>
    </row>
    <row r="876" spans="7:7" ht="15.75" customHeight="1">
      <c r="G876"/>
    </row>
    <row r="877" spans="7:7" ht="15.75" customHeight="1">
      <c r="G877"/>
    </row>
    <row r="878" spans="7:7" ht="15.75" customHeight="1">
      <c r="G878"/>
    </row>
    <row r="879" spans="7:7" ht="15.75" customHeight="1">
      <c r="G879"/>
    </row>
    <row r="880" spans="7:7" ht="15.75" customHeight="1">
      <c r="G880"/>
    </row>
    <row r="881" spans="7:7" ht="15.75" customHeight="1">
      <c r="G881"/>
    </row>
    <row r="882" spans="7:7" ht="15.75" customHeight="1">
      <c r="G882"/>
    </row>
    <row r="883" spans="7:7" ht="15.75" customHeight="1">
      <c r="G883"/>
    </row>
    <row r="884" spans="7:7" ht="15.75" customHeight="1">
      <c r="G884"/>
    </row>
    <row r="885" spans="7:7" ht="15.75" customHeight="1">
      <c r="G885"/>
    </row>
    <row r="886" spans="7:7" ht="15.75" customHeight="1">
      <c r="G886"/>
    </row>
    <row r="887" spans="7:7" ht="15.75" customHeight="1">
      <c r="G887"/>
    </row>
    <row r="888" spans="7:7" ht="15.75" customHeight="1">
      <c r="G888"/>
    </row>
    <row r="889" spans="7:7" ht="15.75" customHeight="1">
      <c r="G889"/>
    </row>
    <row r="890" spans="7:7" ht="15.75" customHeight="1">
      <c r="G890"/>
    </row>
    <row r="891" spans="7:7" ht="15.75" customHeight="1">
      <c r="G891"/>
    </row>
    <row r="892" spans="7:7" ht="15.75" customHeight="1">
      <c r="G892"/>
    </row>
    <row r="893" spans="7:7" ht="15.75" customHeight="1">
      <c r="G893"/>
    </row>
    <row r="894" spans="7:7" ht="15.75" customHeight="1">
      <c r="G894"/>
    </row>
    <row r="895" spans="7:7" ht="15.75" customHeight="1">
      <c r="G895"/>
    </row>
    <row r="896" spans="7:7" ht="15.75" customHeight="1">
      <c r="G896"/>
    </row>
    <row r="897" spans="7:7" ht="15.75" customHeight="1">
      <c r="G897"/>
    </row>
    <row r="898" spans="7:7" ht="15.75" customHeight="1">
      <c r="G898"/>
    </row>
    <row r="899" spans="7:7" ht="15.75" customHeight="1">
      <c r="G899"/>
    </row>
    <row r="900" spans="7:7" ht="15.75" customHeight="1">
      <c r="G900"/>
    </row>
    <row r="901" spans="7:7" ht="15.75" customHeight="1">
      <c r="G901"/>
    </row>
    <row r="902" spans="7:7" ht="15.75" customHeight="1">
      <c r="G902"/>
    </row>
    <row r="903" spans="7:7" ht="15.75" customHeight="1">
      <c r="G903"/>
    </row>
    <row r="904" spans="7:7" ht="15.75" customHeight="1">
      <c r="G904"/>
    </row>
    <row r="905" spans="7:7" ht="15.75" customHeight="1">
      <c r="G905"/>
    </row>
    <row r="906" spans="7:7" ht="15.75" customHeight="1">
      <c r="G906"/>
    </row>
    <row r="907" spans="7:7" ht="15.75" customHeight="1">
      <c r="G907"/>
    </row>
    <row r="908" spans="7:7" ht="15.75" customHeight="1">
      <c r="G908"/>
    </row>
    <row r="909" spans="7:7" ht="15.75" customHeight="1">
      <c r="G909"/>
    </row>
    <row r="910" spans="7:7" ht="15.75" customHeight="1">
      <c r="G910"/>
    </row>
    <row r="911" spans="7:7" ht="15.75" customHeight="1">
      <c r="G911"/>
    </row>
    <row r="912" spans="7:7" ht="15.75" customHeight="1">
      <c r="G912"/>
    </row>
    <row r="913" spans="7:7" ht="15.75" customHeight="1">
      <c r="G913"/>
    </row>
    <row r="914" spans="7:7" ht="15.75" customHeight="1">
      <c r="G914"/>
    </row>
    <row r="915" spans="7:7" ht="15.75" customHeight="1">
      <c r="G915"/>
    </row>
    <row r="916" spans="7:7" ht="15.75" customHeight="1">
      <c r="G916"/>
    </row>
    <row r="917" spans="7:7" ht="15.75" customHeight="1">
      <c r="G917"/>
    </row>
    <row r="918" spans="7:7" ht="15.75" customHeight="1">
      <c r="G918"/>
    </row>
    <row r="919" spans="7:7" ht="15.75" customHeight="1">
      <c r="G919"/>
    </row>
    <row r="920" spans="7:7" ht="15.75" customHeight="1">
      <c r="G920"/>
    </row>
    <row r="921" spans="7:7" ht="15.75" customHeight="1">
      <c r="G921"/>
    </row>
    <row r="922" spans="7:7" ht="15.75" customHeight="1">
      <c r="G922"/>
    </row>
    <row r="923" spans="7:7" ht="15.75" customHeight="1">
      <c r="G923"/>
    </row>
    <row r="924" spans="7:7" ht="15.75" customHeight="1">
      <c r="G924"/>
    </row>
    <row r="925" spans="7:7" ht="15.75" customHeight="1">
      <c r="G925"/>
    </row>
    <row r="926" spans="7:7" ht="15.75" customHeight="1">
      <c r="G926"/>
    </row>
    <row r="927" spans="7:7" ht="15.75" customHeight="1">
      <c r="G927"/>
    </row>
    <row r="928" spans="7:7" ht="15.75" customHeight="1">
      <c r="G928"/>
    </row>
    <row r="929" spans="7:7" ht="15.75" customHeight="1">
      <c r="G929"/>
    </row>
    <row r="930" spans="7:7" ht="15.75" customHeight="1">
      <c r="G930"/>
    </row>
    <row r="931" spans="7:7" ht="15.75" customHeight="1">
      <c r="G931"/>
    </row>
    <row r="932" spans="7:7" ht="15.75" customHeight="1">
      <c r="G932"/>
    </row>
    <row r="933" spans="7:7" ht="15.75" customHeight="1">
      <c r="G933"/>
    </row>
    <row r="934" spans="7:7" ht="15.75" customHeight="1">
      <c r="G934"/>
    </row>
    <row r="935" spans="7:7" ht="15.75" customHeight="1">
      <c r="G935"/>
    </row>
    <row r="936" spans="7:7" ht="15.75" customHeight="1">
      <c r="G936"/>
    </row>
    <row r="937" spans="7:7" ht="15.75" customHeight="1">
      <c r="G937"/>
    </row>
    <row r="938" spans="7:7" ht="15.75" customHeight="1">
      <c r="G938"/>
    </row>
    <row r="939" spans="7:7" ht="15.75" customHeight="1">
      <c r="G939"/>
    </row>
    <row r="940" spans="7:7" ht="15.75" customHeight="1">
      <c r="G940"/>
    </row>
    <row r="941" spans="7:7" ht="15.75" customHeight="1">
      <c r="G941"/>
    </row>
    <row r="942" spans="7:7" ht="15.75" customHeight="1">
      <c r="G942"/>
    </row>
    <row r="943" spans="7:7" ht="15.75" customHeight="1">
      <c r="G943"/>
    </row>
    <row r="944" spans="7:7" ht="15.75" customHeight="1">
      <c r="G944"/>
    </row>
    <row r="945" spans="7:7" ht="15.75" customHeight="1">
      <c r="G945"/>
    </row>
    <row r="946" spans="7:7" ht="15.75" customHeight="1">
      <c r="G946"/>
    </row>
    <row r="947" spans="7:7" ht="15.75" customHeight="1">
      <c r="G947"/>
    </row>
    <row r="948" spans="7:7" ht="15.75" customHeight="1">
      <c r="G948"/>
    </row>
    <row r="949" spans="7:7" ht="15.75" customHeight="1">
      <c r="G949"/>
    </row>
    <row r="950" spans="7:7" ht="15.75" customHeight="1">
      <c r="G950"/>
    </row>
    <row r="951" spans="7:7" ht="15.75" customHeight="1">
      <c r="G951"/>
    </row>
    <row r="952" spans="7:7" ht="15.75" customHeight="1">
      <c r="G952"/>
    </row>
    <row r="953" spans="7:7" ht="15.75" customHeight="1">
      <c r="G953"/>
    </row>
    <row r="954" spans="7:7" ht="15.75" customHeight="1">
      <c r="G954"/>
    </row>
    <row r="955" spans="7:7" ht="15.75" customHeight="1">
      <c r="G955"/>
    </row>
    <row r="956" spans="7:7" ht="15.75" customHeight="1">
      <c r="G956"/>
    </row>
    <row r="957" spans="7:7" ht="15.75" customHeight="1">
      <c r="G957"/>
    </row>
    <row r="958" spans="7:7" ht="15.75" customHeight="1">
      <c r="G958"/>
    </row>
    <row r="959" spans="7:7" ht="15.75" customHeight="1">
      <c r="G959"/>
    </row>
    <row r="960" spans="7:7" ht="15.75" customHeight="1">
      <c r="G960"/>
    </row>
    <row r="961" spans="7:7" ht="15.75" customHeight="1">
      <c r="G961"/>
    </row>
    <row r="962" spans="7:7" ht="15.75" customHeight="1">
      <c r="G962"/>
    </row>
    <row r="963" spans="7:7" ht="15.75" customHeight="1">
      <c r="G963"/>
    </row>
    <row r="964" spans="7:7" ht="15.75" customHeight="1">
      <c r="G964"/>
    </row>
    <row r="965" spans="7:7" ht="15.75" customHeight="1">
      <c r="G965"/>
    </row>
    <row r="966" spans="7:7" ht="15.75" customHeight="1">
      <c r="G966"/>
    </row>
    <row r="967" spans="7:7" ht="15.75" customHeight="1">
      <c r="G967"/>
    </row>
    <row r="968" spans="7:7" ht="15.75" customHeight="1">
      <c r="G968"/>
    </row>
    <row r="969" spans="7:7" ht="15.75" customHeight="1">
      <c r="G969"/>
    </row>
    <row r="970" spans="7:7" ht="15.75" customHeight="1">
      <c r="G970"/>
    </row>
    <row r="971" spans="7:7" ht="15.75" customHeight="1">
      <c r="G971"/>
    </row>
    <row r="972" spans="7:7" ht="15.75" customHeight="1">
      <c r="G972"/>
    </row>
    <row r="973" spans="7:7" ht="15.75" customHeight="1">
      <c r="G973"/>
    </row>
    <row r="974" spans="7:7" ht="15.75" customHeight="1">
      <c r="G974"/>
    </row>
    <row r="975" spans="7:7" ht="15.75" customHeight="1">
      <c r="G975"/>
    </row>
    <row r="976" spans="7:7" ht="15.75" customHeight="1">
      <c r="G976"/>
    </row>
    <row r="977" spans="7:7" ht="15.75" customHeight="1">
      <c r="G977"/>
    </row>
    <row r="978" spans="7:7" ht="15.75" customHeight="1">
      <c r="G978"/>
    </row>
    <row r="979" spans="7:7" ht="15.75" customHeight="1">
      <c r="G979"/>
    </row>
    <row r="980" spans="7:7" ht="15.75" customHeight="1">
      <c r="G980"/>
    </row>
    <row r="981" spans="7:7" ht="15.75" customHeight="1">
      <c r="G981"/>
    </row>
    <row r="982" spans="7:7" ht="15.75" customHeight="1">
      <c r="G982"/>
    </row>
    <row r="983" spans="7:7" ht="15.75" customHeight="1">
      <c r="G983"/>
    </row>
    <row r="984" spans="7:7" ht="15.75" customHeight="1">
      <c r="G984"/>
    </row>
    <row r="985" spans="7:7" ht="15.75" customHeight="1">
      <c r="G985"/>
    </row>
    <row r="986" spans="7:7" ht="15.75" customHeight="1">
      <c r="G986"/>
    </row>
    <row r="987" spans="7:7" ht="15.75" customHeight="1">
      <c r="G987"/>
    </row>
    <row r="988" spans="7:7" ht="15.75" customHeight="1">
      <c r="G988"/>
    </row>
    <row r="989" spans="7:7" ht="15.75" customHeight="1">
      <c r="G989"/>
    </row>
    <row r="990" spans="7:7" ht="15.75" customHeight="1">
      <c r="G990"/>
    </row>
    <row r="991" spans="7:7" ht="15.75" customHeight="1">
      <c r="G991"/>
    </row>
    <row r="992" spans="7:7" ht="15.75" customHeight="1">
      <c r="G992"/>
    </row>
    <row r="993" spans="7:7" ht="15.75" customHeight="1">
      <c r="G993"/>
    </row>
    <row r="994" spans="7:7" ht="15.75" customHeight="1">
      <c r="G994"/>
    </row>
    <row r="995" spans="7:7" ht="15.75" customHeight="1">
      <c r="G995"/>
    </row>
    <row r="996" spans="7:7" ht="15.75" customHeight="1">
      <c r="G996"/>
    </row>
    <row r="997" spans="7:7" ht="15.75" customHeight="1">
      <c r="G997"/>
    </row>
    <row r="998" spans="7:7" ht="15.75" customHeight="1">
      <c r="G998"/>
    </row>
    <row r="999" spans="7:7" ht="15.75" customHeight="1">
      <c r="G999"/>
    </row>
    <row r="1000" spans="7:7" ht="15.75" customHeight="1">
      <c r="G1000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0F57-0C4D-4889-8820-23D5BAEDAF92}">
  <dimension ref="A1:K32"/>
  <sheetViews>
    <sheetView zoomScaleNormal="100" workbookViewId="0">
      <selection activeCell="J39" sqref="J39"/>
    </sheetView>
  </sheetViews>
  <sheetFormatPr defaultRowHeight="13.2"/>
  <cols>
    <col min="1" max="1" width="10.5546875" bestFit="1" customWidth="1"/>
    <col min="2" max="2" width="13.21875" bestFit="1" customWidth="1"/>
    <col min="3" max="3" width="11.44140625" bestFit="1" customWidth="1"/>
    <col min="4" max="4" width="7.88671875" bestFit="1" customWidth="1"/>
    <col min="5" max="5" width="8.33203125" bestFit="1" customWidth="1"/>
    <col min="6" max="6" width="10.44140625" style="27" bestFit="1" customWidth="1"/>
    <col min="7" max="7" width="13.21875" bestFit="1" customWidth="1"/>
    <col min="8" max="8" width="12" customWidth="1"/>
    <col min="10" max="10" width="39.21875" customWidth="1"/>
  </cols>
  <sheetData>
    <row r="1" spans="1:11" ht="14.4">
      <c r="A1" s="1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4" t="s">
        <v>5</v>
      </c>
      <c r="G1" s="10" t="s">
        <v>1</v>
      </c>
      <c r="H1" s="10" t="s">
        <v>5</v>
      </c>
    </row>
    <row r="2" spans="1:11" ht="14.4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25" t="s">
        <v>9</v>
      </c>
      <c r="G2" s="4" t="str" cm="1">
        <f t="array" ref="G2:G32">PROPER(B2:B32)</f>
        <v>Laptop</v>
      </c>
      <c r="H2" s="4" t="str" cm="1">
        <f t="array" ref="H2:H32">TRIM(F2:F32)</f>
        <v>Electronics</v>
      </c>
    </row>
    <row r="3" spans="1:11" ht="18.600000000000001" customHeight="1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26" t="s">
        <v>13</v>
      </c>
      <c r="G3" s="5" t="str">
        <v>Sneakers</v>
      </c>
      <c r="H3" s="5" t="str">
        <v>Fashion</v>
      </c>
      <c r="J3" s="7" t="s">
        <v>117</v>
      </c>
    </row>
    <row r="4" spans="1:11" ht="14.4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25" t="s">
        <v>17</v>
      </c>
      <c r="G4" s="4" t="str">
        <v>Coffee Maker</v>
      </c>
      <c r="H4" s="4" t="str">
        <v>Kitchen</v>
      </c>
    </row>
    <row r="5" spans="1:11" ht="15.6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26" t="s">
        <v>9</v>
      </c>
      <c r="G5" s="22" t="str">
        <v>Smartphone</v>
      </c>
      <c r="H5" s="5" t="str">
        <v>Electronics</v>
      </c>
      <c r="J5" s="8" t="s">
        <v>110</v>
      </c>
    </row>
    <row r="6" spans="1:11" ht="14.4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25"/>
      <c r="G6" s="4" t="str">
        <v>Backpack</v>
      </c>
      <c r="H6" s="4" t="str">
        <v/>
      </c>
    </row>
    <row r="7" spans="1:11" ht="14.4">
      <c r="A7" s="5" t="s">
        <v>24</v>
      </c>
      <c r="B7" s="5" t="s">
        <v>25</v>
      </c>
      <c r="C7" s="5" t="s">
        <v>26</v>
      </c>
      <c r="D7" s="5"/>
      <c r="E7" s="5">
        <v>45</v>
      </c>
      <c r="F7" s="26" t="s">
        <v>27</v>
      </c>
      <c r="G7" s="5" t="str">
        <v>Headphones</v>
      </c>
      <c r="H7" s="5" t="str">
        <v>Electroni</v>
      </c>
      <c r="J7" s="23" t="s">
        <v>101</v>
      </c>
      <c r="K7" t="s">
        <v>113</v>
      </c>
    </row>
    <row r="8" spans="1:11" ht="14.4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25" t="s">
        <v>13</v>
      </c>
      <c r="G8" s="4" t="str">
        <v>T-Shirt</v>
      </c>
      <c r="H8" s="4" t="str">
        <v>Fashion</v>
      </c>
    </row>
    <row r="9" spans="1:11" ht="14.4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26" t="s">
        <v>17</v>
      </c>
      <c r="G9" s="5" t="str">
        <v>Blender</v>
      </c>
      <c r="H9" s="5" t="str">
        <v>Kitchen</v>
      </c>
    </row>
    <row r="10" spans="1:11" ht="15.6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25" t="s">
        <v>9</v>
      </c>
      <c r="G10" s="4" t="str">
        <v>Tablet</v>
      </c>
      <c r="H10" s="4" t="str">
        <v>Electronics</v>
      </c>
      <c r="J10" s="8" t="s">
        <v>111</v>
      </c>
    </row>
    <row r="11" spans="1:11" ht="14.4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26" t="s">
        <v>40</v>
      </c>
      <c r="G11" s="5" t="str">
        <v>Hiking Boots</v>
      </c>
      <c r="H11" s="5" t="str">
        <v>Outdoor</v>
      </c>
    </row>
    <row r="12" spans="1:11" ht="14.4">
      <c r="A12" s="4" t="s">
        <v>41</v>
      </c>
      <c r="B12" s="4" t="s">
        <v>42</v>
      </c>
      <c r="C12" s="4" t="s">
        <v>43</v>
      </c>
      <c r="D12" s="4">
        <v>950</v>
      </c>
      <c r="E12" s="4">
        <v>25</v>
      </c>
      <c r="F12" s="25" t="s">
        <v>9</v>
      </c>
      <c r="G12" s="4" t="str">
        <v>Laptop</v>
      </c>
      <c r="H12" s="4" t="str">
        <v>Electronics</v>
      </c>
      <c r="J12" s="23" t="s">
        <v>101</v>
      </c>
      <c r="K12" t="s">
        <v>114</v>
      </c>
    </row>
    <row r="13" spans="1:11" ht="14.4">
      <c r="A13" s="5" t="s">
        <v>44</v>
      </c>
      <c r="B13" s="5" t="s">
        <v>11</v>
      </c>
      <c r="C13" s="5" t="s">
        <v>30</v>
      </c>
      <c r="D13" s="5">
        <v>90</v>
      </c>
      <c r="E13" s="5">
        <v>40</v>
      </c>
      <c r="F13" s="26"/>
      <c r="G13" s="5" t="str">
        <v>Sneakers</v>
      </c>
      <c r="H13" s="5" t="str">
        <v/>
      </c>
    </row>
    <row r="14" spans="1:11" ht="14.4">
      <c r="A14" s="4" t="s">
        <v>45</v>
      </c>
      <c r="B14" s="4" t="s">
        <v>15</v>
      </c>
      <c r="C14" s="4" t="s">
        <v>46</v>
      </c>
      <c r="D14" s="4">
        <v>120</v>
      </c>
      <c r="E14" s="4">
        <v>35</v>
      </c>
      <c r="F14" s="25"/>
      <c r="G14" s="4" t="str">
        <v>Coffee Maker</v>
      </c>
      <c r="H14" s="4" t="str">
        <v/>
      </c>
    </row>
    <row r="15" spans="1:11" ht="14.4">
      <c r="A15" s="5" t="s">
        <v>47</v>
      </c>
      <c r="B15" s="5" t="s">
        <v>48</v>
      </c>
      <c r="C15" s="5" t="s">
        <v>49</v>
      </c>
      <c r="D15" s="5">
        <v>150</v>
      </c>
      <c r="E15" s="5">
        <v>15</v>
      </c>
      <c r="F15" s="26" t="s">
        <v>27</v>
      </c>
      <c r="G15" s="5" t="str">
        <v>Smartwatch</v>
      </c>
      <c r="H15" s="5" t="str">
        <v>Electroni</v>
      </c>
    </row>
    <row r="16" spans="1:11" ht="15.6">
      <c r="A16" s="4" t="s">
        <v>50</v>
      </c>
      <c r="B16" s="4" t="s">
        <v>51</v>
      </c>
      <c r="C16" s="4" t="s">
        <v>52</v>
      </c>
      <c r="D16" s="4">
        <v>250</v>
      </c>
      <c r="E16" s="4">
        <v>20</v>
      </c>
      <c r="F16" s="25" t="s">
        <v>27</v>
      </c>
      <c r="G16" s="21" t="str">
        <v>Headphones</v>
      </c>
      <c r="H16" s="4" t="str">
        <v>Electroni</v>
      </c>
      <c r="J16" s="8" t="s">
        <v>112</v>
      </c>
    </row>
    <row r="17" spans="1:11" ht="14.4">
      <c r="A17" s="5" t="s">
        <v>53</v>
      </c>
      <c r="B17" s="5" t="s">
        <v>54</v>
      </c>
      <c r="C17" s="5" t="s">
        <v>55</v>
      </c>
      <c r="D17" s="5">
        <v>50</v>
      </c>
      <c r="E17" s="5">
        <v>35</v>
      </c>
      <c r="F17" s="26" t="s">
        <v>56</v>
      </c>
      <c r="G17" s="5" t="str">
        <v>Laptop Bag</v>
      </c>
      <c r="H17" s="5" t="str">
        <v>Accessories</v>
      </c>
    </row>
    <row r="18" spans="1:11" ht="14.4">
      <c r="A18" s="4" t="s">
        <v>57</v>
      </c>
      <c r="B18" s="4" t="s">
        <v>48</v>
      </c>
      <c r="C18" s="4" t="s">
        <v>58</v>
      </c>
      <c r="D18" s="4">
        <v>160</v>
      </c>
      <c r="E18" s="4">
        <v>15</v>
      </c>
      <c r="F18" s="25" t="s">
        <v>27</v>
      </c>
      <c r="G18" s="4" t="str">
        <v>Smartwatch</v>
      </c>
      <c r="H18" s="4" t="str">
        <v>Electroni</v>
      </c>
      <c r="J18" s="13" t="s">
        <v>115</v>
      </c>
      <c r="K18" s="13" t="s">
        <v>116</v>
      </c>
    </row>
    <row r="19" spans="1:11" ht="14.4">
      <c r="A19" s="5" t="s">
        <v>59</v>
      </c>
      <c r="B19" s="5" t="s">
        <v>7</v>
      </c>
      <c r="C19" s="5" t="s">
        <v>60</v>
      </c>
      <c r="D19" s="5">
        <v>980</v>
      </c>
      <c r="E19" s="5">
        <v>10</v>
      </c>
      <c r="F19" s="26" t="s">
        <v>9</v>
      </c>
      <c r="G19" s="22" t="str">
        <v>Laptop</v>
      </c>
      <c r="H19" s="5" t="str">
        <v>Electronics</v>
      </c>
    </row>
    <row r="20" spans="1:11" ht="14.4">
      <c r="A20" s="4" t="s">
        <v>61</v>
      </c>
      <c r="B20" s="4" t="s">
        <v>62</v>
      </c>
      <c r="C20" s="4" t="s">
        <v>63</v>
      </c>
      <c r="D20" s="4">
        <v>150</v>
      </c>
      <c r="E20" s="4">
        <v>15</v>
      </c>
      <c r="F20" s="25" t="s">
        <v>13</v>
      </c>
      <c r="G20" s="4" t="str">
        <v>Sunglasses</v>
      </c>
      <c r="H20" s="4" t="str">
        <v>Fashion</v>
      </c>
    </row>
    <row r="21" spans="1:11" ht="14.4">
      <c r="A21" s="5" t="s">
        <v>64</v>
      </c>
      <c r="B21" s="5" t="s">
        <v>65</v>
      </c>
      <c r="C21" s="5" t="s">
        <v>66</v>
      </c>
      <c r="D21" s="5"/>
      <c r="E21" s="5">
        <v>10</v>
      </c>
      <c r="F21" s="26" t="s">
        <v>40</v>
      </c>
      <c r="G21" s="5" t="str">
        <v>Camping Tent</v>
      </c>
      <c r="H21" s="5" t="str">
        <v>Outdoor</v>
      </c>
    </row>
    <row r="22" spans="1:11" ht="14.4">
      <c r="A22" s="4" t="s">
        <v>67</v>
      </c>
      <c r="B22" s="4" t="s">
        <v>68</v>
      </c>
      <c r="C22" s="4" t="s">
        <v>69</v>
      </c>
      <c r="D22" s="4">
        <v>700</v>
      </c>
      <c r="E22" s="4">
        <v>50</v>
      </c>
      <c r="F22" s="25" t="s">
        <v>9</v>
      </c>
      <c r="G22" s="4" t="str">
        <v>Camera</v>
      </c>
      <c r="H22" s="4" t="str">
        <v>Electronics</v>
      </c>
    </row>
    <row r="23" spans="1:11" ht="14.4">
      <c r="A23" s="5" t="s">
        <v>70</v>
      </c>
      <c r="B23" s="5" t="s">
        <v>71</v>
      </c>
      <c r="C23" s="5" t="s">
        <v>72</v>
      </c>
      <c r="D23" s="5">
        <v>80</v>
      </c>
      <c r="E23" s="5">
        <v>20</v>
      </c>
      <c r="F23" s="26" t="s">
        <v>17</v>
      </c>
      <c r="G23" s="5" t="str">
        <v>Microwave</v>
      </c>
      <c r="H23" s="5" t="str">
        <v>Kitchen</v>
      </c>
    </row>
    <row r="24" spans="1:11" ht="14.4">
      <c r="A24" s="4" t="s">
        <v>73</v>
      </c>
      <c r="B24" s="4" t="s">
        <v>74</v>
      </c>
      <c r="C24" s="4" t="s">
        <v>75</v>
      </c>
      <c r="D24" s="4">
        <v>150</v>
      </c>
      <c r="E24" s="4">
        <v>30</v>
      </c>
      <c r="F24" s="25"/>
      <c r="G24" s="4" t="str">
        <v>Fitness Tracker</v>
      </c>
      <c r="H24" s="4" t="str">
        <v/>
      </c>
    </row>
    <row r="25" spans="1:11" ht="14.4">
      <c r="A25" s="4" t="s">
        <v>76</v>
      </c>
      <c r="B25" s="4" t="s">
        <v>77</v>
      </c>
      <c r="C25" s="4" t="s">
        <v>78</v>
      </c>
      <c r="D25" s="4">
        <v>800</v>
      </c>
      <c r="E25" s="4">
        <v>45</v>
      </c>
      <c r="F25" s="25" t="s">
        <v>9</v>
      </c>
      <c r="G25" s="4" t="str">
        <v>Smartphone</v>
      </c>
      <c r="H25" s="4" t="str">
        <v>Electronics</v>
      </c>
    </row>
    <row r="26" spans="1:11" ht="14.4">
      <c r="A26" s="5" t="s">
        <v>79</v>
      </c>
      <c r="B26" s="5" t="s">
        <v>62</v>
      </c>
      <c r="C26" s="5" t="s">
        <v>80</v>
      </c>
      <c r="D26" s="5"/>
      <c r="E26" s="5">
        <v>25</v>
      </c>
      <c r="F26" s="26" t="s">
        <v>13</v>
      </c>
      <c r="G26" s="5" t="str">
        <v>Sunglasses</v>
      </c>
      <c r="H26" s="5" t="str">
        <v>Fashion</v>
      </c>
    </row>
    <row r="27" spans="1:11" ht="14.4">
      <c r="A27" s="4" t="s">
        <v>81</v>
      </c>
      <c r="B27" s="4" t="s">
        <v>32</v>
      </c>
      <c r="C27" s="4" t="s">
        <v>82</v>
      </c>
      <c r="D27" s="4">
        <v>400</v>
      </c>
      <c r="E27" s="4">
        <v>40</v>
      </c>
      <c r="F27" s="25" t="s">
        <v>17</v>
      </c>
      <c r="G27" s="4" t="str">
        <v>Blender</v>
      </c>
      <c r="H27" s="4" t="str">
        <v>Kitchen</v>
      </c>
    </row>
    <row r="28" spans="1:11" ht="14.4">
      <c r="A28" s="4" t="s">
        <v>83</v>
      </c>
      <c r="B28" s="4" t="s">
        <v>84</v>
      </c>
      <c r="C28" s="4" t="s">
        <v>85</v>
      </c>
      <c r="D28" s="4">
        <v>60</v>
      </c>
      <c r="E28" s="4">
        <v>30</v>
      </c>
      <c r="F28" s="25" t="s">
        <v>13</v>
      </c>
      <c r="G28" s="4" t="str">
        <v>Dress</v>
      </c>
      <c r="H28" s="4" t="str">
        <v>Fashion</v>
      </c>
    </row>
    <row r="29" spans="1:11" ht="14.4">
      <c r="A29" s="5" t="s">
        <v>86</v>
      </c>
      <c r="B29" s="5" t="s">
        <v>87</v>
      </c>
      <c r="C29" s="5" t="s">
        <v>88</v>
      </c>
      <c r="D29" s="5">
        <v>40</v>
      </c>
      <c r="E29" s="5">
        <v>10</v>
      </c>
      <c r="F29" s="26" t="s">
        <v>17</v>
      </c>
      <c r="G29" s="5" t="str">
        <v>Toaster</v>
      </c>
      <c r="H29" s="5" t="str">
        <v>Kitchen</v>
      </c>
    </row>
    <row r="30" spans="1:11" ht="14.4">
      <c r="A30" s="4" t="s">
        <v>89</v>
      </c>
      <c r="B30" s="4" t="s">
        <v>74</v>
      </c>
      <c r="C30" s="4" t="s">
        <v>90</v>
      </c>
      <c r="D30" s="4">
        <v>130</v>
      </c>
      <c r="E30" s="4">
        <v>5</v>
      </c>
      <c r="F30" s="25" t="s">
        <v>9</v>
      </c>
      <c r="G30" s="4" t="str">
        <v>Fitness Tracker</v>
      </c>
      <c r="H30" s="4" t="str">
        <v>Electronics</v>
      </c>
    </row>
    <row r="31" spans="1:11" ht="14.4">
      <c r="A31" s="5" t="s">
        <v>91</v>
      </c>
      <c r="B31" s="5" t="s">
        <v>92</v>
      </c>
      <c r="C31" s="5" t="s">
        <v>93</v>
      </c>
      <c r="D31" s="5">
        <v>50</v>
      </c>
      <c r="E31" s="5">
        <v>50</v>
      </c>
      <c r="F31" s="26" t="s">
        <v>13</v>
      </c>
      <c r="G31" s="5" t="str">
        <v>Jeans</v>
      </c>
      <c r="H31" s="5" t="str">
        <v>Fashion</v>
      </c>
    </row>
    <row r="32" spans="1:11" ht="14.4">
      <c r="A32" s="5" t="s">
        <v>94</v>
      </c>
      <c r="B32" s="5" t="s">
        <v>95</v>
      </c>
      <c r="C32" s="5" t="s">
        <v>96</v>
      </c>
      <c r="D32" s="5">
        <v>100</v>
      </c>
      <c r="E32" s="5">
        <v>20</v>
      </c>
      <c r="F32" s="26" t="s">
        <v>56</v>
      </c>
      <c r="G32" s="5" t="str">
        <v>Watch</v>
      </c>
      <c r="H32" s="5" t="str">
        <v>Accessories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5911-EB39-4EEC-AAA0-3F79AE4E2C03}">
  <dimension ref="A1:M32"/>
  <sheetViews>
    <sheetView topLeftCell="A12" zoomScaleNormal="100" workbookViewId="0">
      <selection activeCell="J37" sqref="J37"/>
    </sheetView>
  </sheetViews>
  <sheetFormatPr defaultRowHeight="13.2"/>
  <cols>
    <col min="1" max="1" width="10.5546875" bestFit="1" customWidth="1"/>
    <col min="2" max="2" width="13.21875" bestFit="1" customWidth="1"/>
    <col min="3" max="3" width="11.44140625" bestFit="1" customWidth="1"/>
    <col min="4" max="4" width="7.88671875" bestFit="1" customWidth="1"/>
    <col min="5" max="5" width="8.33203125" bestFit="1" customWidth="1"/>
    <col min="6" max="6" width="10.44140625" bestFit="1" customWidth="1"/>
    <col min="9" max="9" width="23.6640625" bestFit="1" customWidth="1"/>
  </cols>
  <sheetData>
    <row r="1" spans="1:13" ht="14.4">
      <c r="A1" s="1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4" t="s">
        <v>5</v>
      </c>
    </row>
    <row r="2" spans="1:13" ht="14.4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25" t="s">
        <v>9</v>
      </c>
    </row>
    <row r="3" spans="1:13" ht="14.4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26" t="s">
        <v>13</v>
      </c>
    </row>
    <row r="4" spans="1:13" ht="14.4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25" t="s">
        <v>17</v>
      </c>
    </row>
    <row r="5" spans="1:13" ht="14.4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26" t="s">
        <v>9</v>
      </c>
    </row>
    <row r="6" spans="1:13" ht="14.4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25"/>
    </row>
    <row r="7" spans="1:13" ht="15.6">
      <c r="A7" s="5" t="s">
        <v>24</v>
      </c>
      <c r="B7" s="5" t="s">
        <v>25</v>
      </c>
      <c r="C7" s="5" t="s">
        <v>26</v>
      </c>
      <c r="D7" s="5"/>
      <c r="E7" s="5">
        <v>45</v>
      </c>
      <c r="F7" s="26" t="s">
        <v>27</v>
      </c>
      <c r="I7" s="6" t="s">
        <v>118</v>
      </c>
    </row>
    <row r="8" spans="1:13" ht="14.4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25" t="s">
        <v>13</v>
      </c>
    </row>
    <row r="9" spans="1:13" ht="15.6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26" t="s">
        <v>17</v>
      </c>
      <c r="I9" s="38" t="s">
        <v>145</v>
      </c>
    </row>
    <row r="10" spans="1:13" ht="14.4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25" t="s">
        <v>9</v>
      </c>
    </row>
    <row r="11" spans="1:13" ht="15.6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26" t="s">
        <v>40</v>
      </c>
      <c r="I11" s="28" t="s">
        <v>119</v>
      </c>
      <c r="J11" s="28"/>
      <c r="K11" s="28"/>
      <c r="L11" s="28"/>
      <c r="M11" s="28"/>
    </row>
    <row r="12" spans="1:13" ht="15.6">
      <c r="A12" s="4" t="s">
        <v>41</v>
      </c>
      <c r="B12" s="4" t="s">
        <v>42</v>
      </c>
      <c r="C12" s="4" t="s">
        <v>43</v>
      </c>
      <c r="D12" s="4">
        <v>950</v>
      </c>
      <c r="E12" s="4">
        <v>25</v>
      </c>
      <c r="F12" s="25" t="s">
        <v>9</v>
      </c>
      <c r="I12" s="28"/>
      <c r="J12" s="28"/>
      <c r="K12" s="28"/>
      <c r="L12" s="28"/>
      <c r="M12" s="28"/>
    </row>
    <row r="13" spans="1:13" ht="15.6">
      <c r="A13" s="5" t="s">
        <v>44</v>
      </c>
      <c r="B13" s="5" t="s">
        <v>11</v>
      </c>
      <c r="C13" s="5" t="s">
        <v>30</v>
      </c>
      <c r="D13" s="5">
        <v>90</v>
      </c>
      <c r="E13" s="5">
        <v>40</v>
      </c>
      <c r="F13" s="26"/>
      <c r="I13" s="28"/>
      <c r="J13" s="28" t="s">
        <v>120</v>
      </c>
      <c r="K13" s="28"/>
      <c r="L13" s="28"/>
      <c r="M13" s="28"/>
    </row>
    <row r="14" spans="1:13" ht="15.6">
      <c r="A14" s="4" t="s">
        <v>45</v>
      </c>
      <c r="B14" s="4" t="s">
        <v>15</v>
      </c>
      <c r="C14" s="4" t="s">
        <v>46</v>
      </c>
      <c r="D14" s="4">
        <v>120</v>
      </c>
      <c r="E14" s="4">
        <v>35</v>
      </c>
      <c r="F14" s="25"/>
      <c r="I14" s="28" t="s">
        <v>121</v>
      </c>
      <c r="J14" s="28"/>
      <c r="K14" s="28"/>
      <c r="L14" s="28"/>
      <c r="M14" s="28"/>
    </row>
    <row r="15" spans="1:13" ht="15.6">
      <c r="A15" s="5" t="s">
        <v>47</v>
      </c>
      <c r="B15" s="5" t="s">
        <v>48</v>
      </c>
      <c r="C15" s="5" t="s">
        <v>49</v>
      </c>
      <c r="D15" s="5">
        <v>150</v>
      </c>
      <c r="E15" s="5">
        <v>15</v>
      </c>
      <c r="F15" s="26" t="s">
        <v>27</v>
      </c>
      <c r="I15" s="28" t="s">
        <v>122</v>
      </c>
      <c r="J15" s="28"/>
      <c r="K15" s="28"/>
      <c r="L15" s="28"/>
      <c r="M15" s="28"/>
    </row>
    <row r="16" spans="1:13" ht="15.6">
      <c r="A16" s="4" t="s">
        <v>50</v>
      </c>
      <c r="B16" s="4" t="s">
        <v>51</v>
      </c>
      <c r="C16" s="4" t="s">
        <v>52</v>
      </c>
      <c r="D16" s="4">
        <v>250</v>
      </c>
      <c r="E16" s="4">
        <v>20</v>
      </c>
      <c r="F16" s="25" t="s">
        <v>27</v>
      </c>
      <c r="I16" s="28" t="s">
        <v>123</v>
      </c>
      <c r="J16" s="28"/>
      <c r="K16" s="28"/>
      <c r="L16" s="28"/>
      <c r="M16" s="28"/>
    </row>
    <row r="17" spans="1:13" ht="15.6">
      <c r="A17" s="5" t="s">
        <v>53</v>
      </c>
      <c r="B17" s="5" t="s">
        <v>54</v>
      </c>
      <c r="C17" s="5" t="s">
        <v>55</v>
      </c>
      <c r="D17" s="5">
        <v>50</v>
      </c>
      <c r="E17" s="5">
        <v>35</v>
      </c>
      <c r="F17" s="26" t="s">
        <v>56</v>
      </c>
      <c r="I17" s="28" t="s">
        <v>124</v>
      </c>
      <c r="J17" s="28"/>
      <c r="K17" s="28"/>
      <c r="L17" s="28"/>
      <c r="M17" s="28"/>
    </row>
    <row r="18" spans="1:13" ht="14.4">
      <c r="A18" s="4" t="s">
        <v>57</v>
      </c>
      <c r="B18" s="4" t="s">
        <v>48</v>
      </c>
      <c r="C18" s="4" t="s">
        <v>58</v>
      </c>
      <c r="D18" s="4">
        <v>160</v>
      </c>
      <c r="E18" s="4">
        <v>15</v>
      </c>
      <c r="F18" s="25" t="s">
        <v>27</v>
      </c>
    </row>
    <row r="19" spans="1:13" ht="14.4">
      <c r="A19" s="5" t="s">
        <v>59</v>
      </c>
      <c r="B19" s="5" t="s">
        <v>7</v>
      </c>
      <c r="C19" s="5" t="s">
        <v>60</v>
      </c>
      <c r="D19" s="5">
        <v>980</v>
      </c>
      <c r="E19" s="5">
        <v>10</v>
      </c>
      <c r="F19" s="26" t="s">
        <v>9</v>
      </c>
    </row>
    <row r="20" spans="1:13" ht="15.6">
      <c r="A20" s="4" t="s">
        <v>61</v>
      </c>
      <c r="B20" s="4" t="s">
        <v>62</v>
      </c>
      <c r="C20" s="4" t="s">
        <v>63</v>
      </c>
      <c r="D20" s="4">
        <v>150</v>
      </c>
      <c r="E20" s="4">
        <v>15</v>
      </c>
      <c r="F20" s="25" t="s">
        <v>13</v>
      </c>
      <c r="I20" s="19" t="s">
        <v>125</v>
      </c>
    </row>
    <row r="21" spans="1:13" ht="14.4">
      <c r="A21" s="5" t="s">
        <v>64</v>
      </c>
      <c r="B21" s="5" t="s">
        <v>65</v>
      </c>
      <c r="C21" s="5" t="s">
        <v>66</v>
      </c>
      <c r="D21" s="5"/>
      <c r="E21" s="5">
        <v>10</v>
      </c>
      <c r="F21" s="26" t="s">
        <v>40</v>
      </c>
      <c r="I21" s="29"/>
    </row>
    <row r="22" spans="1:13" ht="15.6">
      <c r="A22" s="4" t="s">
        <v>67</v>
      </c>
      <c r="B22" s="4" t="s">
        <v>68</v>
      </c>
      <c r="C22" s="4" t="s">
        <v>69</v>
      </c>
      <c r="D22" s="4">
        <v>700</v>
      </c>
      <c r="E22" s="4">
        <v>50</v>
      </c>
      <c r="F22" s="25" t="s">
        <v>9</v>
      </c>
      <c r="I22" s="30" t="s">
        <v>126</v>
      </c>
      <c r="J22" s="28"/>
    </row>
    <row r="23" spans="1:13" ht="15.6">
      <c r="A23" s="5" t="s">
        <v>70</v>
      </c>
      <c r="B23" s="5" t="s">
        <v>71</v>
      </c>
      <c r="C23" s="5" t="s">
        <v>72</v>
      </c>
      <c r="D23" s="5">
        <v>80</v>
      </c>
      <c r="E23" s="5">
        <v>20</v>
      </c>
      <c r="F23" s="26" t="s">
        <v>17</v>
      </c>
      <c r="I23" s="31" t="s">
        <v>127</v>
      </c>
      <c r="J23" s="28"/>
    </row>
    <row r="24" spans="1:13" ht="15.6">
      <c r="A24" s="4" t="s">
        <v>73</v>
      </c>
      <c r="B24" s="4" t="s">
        <v>74</v>
      </c>
      <c r="C24" s="4" t="s">
        <v>75</v>
      </c>
      <c r="D24" s="4">
        <v>150</v>
      </c>
      <c r="E24" s="4">
        <v>30</v>
      </c>
      <c r="F24" s="25"/>
      <c r="I24" s="31" t="s">
        <v>128</v>
      </c>
      <c r="J24" s="28"/>
    </row>
    <row r="25" spans="1:13" ht="15.6">
      <c r="A25" s="4" t="s">
        <v>76</v>
      </c>
      <c r="B25" s="4" t="s">
        <v>77</v>
      </c>
      <c r="C25" s="4" t="s">
        <v>78</v>
      </c>
      <c r="D25" s="4">
        <v>800</v>
      </c>
      <c r="E25" s="4">
        <v>45</v>
      </c>
      <c r="F25" s="25" t="s">
        <v>9</v>
      </c>
      <c r="I25" s="31" t="s">
        <v>129</v>
      </c>
      <c r="J25" s="28"/>
    </row>
    <row r="26" spans="1:13" ht="15.6">
      <c r="A26" s="5" t="s">
        <v>79</v>
      </c>
      <c r="B26" s="5" t="s">
        <v>62</v>
      </c>
      <c r="C26" s="5" t="s">
        <v>80</v>
      </c>
      <c r="D26" s="5"/>
      <c r="E26" s="5">
        <v>25</v>
      </c>
      <c r="F26" s="26" t="s">
        <v>13</v>
      </c>
      <c r="I26" s="31" t="s">
        <v>130</v>
      </c>
      <c r="J26" s="28"/>
    </row>
    <row r="27" spans="1:13" ht="15.6">
      <c r="A27" s="4" t="s">
        <v>81</v>
      </c>
      <c r="B27" s="4" t="s">
        <v>32</v>
      </c>
      <c r="C27" s="4" t="s">
        <v>82</v>
      </c>
      <c r="D27" s="4">
        <v>400</v>
      </c>
      <c r="E27" s="4">
        <v>40</v>
      </c>
      <c r="F27" s="25" t="s">
        <v>17</v>
      </c>
      <c r="I27" s="31" t="s">
        <v>131</v>
      </c>
      <c r="J27" s="28"/>
    </row>
    <row r="28" spans="1:13" ht="14.4">
      <c r="A28" s="4" t="s">
        <v>83</v>
      </c>
      <c r="B28" s="4" t="s">
        <v>84</v>
      </c>
      <c r="C28" s="4" t="s">
        <v>85</v>
      </c>
      <c r="D28" s="4">
        <v>60</v>
      </c>
      <c r="E28" s="4">
        <v>30</v>
      </c>
      <c r="F28" s="25" t="s">
        <v>13</v>
      </c>
    </row>
    <row r="29" spans="1:13" ht="14.4">
      <c r="A29" s="5" t="s">
        <v>86</v>
      </c>
      <c r="B29" s="5" t="s">
        <v>87</v>
      </c>
      <c r="C29" s="5" t="s">
        <v>88</v>
      </c>
      <c r="D29" s="5">
        <v>40</v>
      </c>
      <c r="E29" s="5">
        <v>10</v>
      </c>
      <c r="F29" s="26" t="s">
        <v>17</v>
      </c>
    </row>
    <row r="30" spans="1:13" ht="14.4">
      <c r="A30" s="4" t="s">
        <v>89</v>
      </c>
      <c r="B30" s="4" t="s">
        <v>74</v>
      </c>
      <c r="C30" s="4" t="s">
        <v>90</v>
      </c>
      <c r="D30" s="4">
        <v>130</v>
      </c>
      <c r="E30" s="4">
        <v>5</v>
      </c>
      <c r="F30" s="25" t="s">
        <v>9</v>
      </c>
    </row>
    <row r="31" spans="1:13" ht="14.4">
      <c r="A31" s="5" t="s">
        <v>91</v>
      </c>
      <c r="B31" s="5" t="s">
        <v>92</v>
      </c>
      <c r="C31" s="5" t="s">
        <v>93</v>
      </c>
      <c r="D31" s="5">
        <v>50</v>
      </c>
      <c r="E31" s="5">
        <v>50</v>
      </c>
      <c r="F31" s="26" t="s">
        <v>13</v>
      </c>
    </row>
    <row r="32" spans="1:13" ht="14.4">
      <c r="A32" s="5" t="s">
        <v>94</v>
      </c>
      <c r="B32" s="5" t="s">
        <v>95</v>
      </c>
      <c r="C32" s="5" t="s">
        <v>96</v>
      </c>
      <c r="D32" s="5">
        <v>100</v>
      </c>
      <c r="E32" s="5">
        <v>20</v>
      </c>
      <c r="F32" s="2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DF5C-ACF8-4C3D-A39A-7C3F2A13B833}">
  <dimension ref="A1:M32"/>
  <sheetViews>
    <sheetView topLeftCell="A10" zoomScaleNormal="100" workbookViewId="0">
      <selection activeCell="I36" sqref="I36"/>
    </sheetView>
  </sheetViews>
  <sheetFormatPr defaultColWidth="11.6640625" defaultRowHeight="14.4"/>
  <cols>
    <col min="7" max="7" width="17.6640625" style="50" bestFit="1" customWidth="1"/>
    <col min="8" max="8" width="12.33203125" style="50" bestFit="1" customWidth="1"/>
    <col min="9" max="9" width="22.5546875" style="50" customWidth="1"/>
    <col min="10" max="10" width="22.5546875" style="35" customWidth="1"/>
    <col min="12" max="12" width="28.77734375" bestFit="1" customWidth="1"/>
  </cols>
  <sheetData>
    <row r="1" spans="1:13">
      <c r="A1" s="1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4" t="s">
        <v>5</v>
      </c>
      <c r="G1" s="33" t="s">
        <v>133</v>
      </c>
      <c r="H1" s="33" t="s">
        <v>135</v>
      </c>
      <c r="I1" s="33" t="s">
        <v>136</v>
      </c>
      <c r="J1" s="36"/>
    </row>
    <row r="2" spans="1:13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25" t="s">
        <v>9</v>
      </c>
      <c r="G2" s="49" t="str">
        <f>LEFT(A2,6)</f>
        <v>28-JAN</v>
      </c>
      <c r="H2" s="49" t="str">
        <f>RIGHT(A2,2)</f>
        <v>US</v>
      </c>
      <c r="I2" s="49" t="str">
        <f>_xlfn.CONCAT(C2,B2)</f>
        <v>Delllaptop</v>
      </c>
      <c r="J2" s="34"/>
    </row>
    <row r="3" spans="1:13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26" t="s">
        <v>13</v>
      </c>
      <c r="G3" s="49" t="str">
        <f t="shared" ref="G3:G32" si="0">LEFT(A3,6)</f>
        <v>15-FEB</v>
      </c>
      <c r="H3" s="49" t="str">
        <f t="shared" ref="H3:H32" si="1">RIGHT(A3,2)</f>
        <v>US</v>
      </c>
      <c r="I3" s="49" t="str">
        <f t="shared" ref="I3:I32" si="2">_xlfn.CONCAT(C3,B3)</f>
        <v>NikeSneakers</v>
      </c>
      <c r="J3" s="34"/>
    </row>
    <row r="4" spans="1:13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25" t="s">
        <v>17</v>
      </c>
      <c r="G4" s="49" t="str">
        <f t="shared" si="0"/>
        <v>03-MAR</v>
      </c>
      <c r="H4" s="49" t="str">
        <f t="shared" si="1"/>
        <v>US</v>
      </c>
      <c r="I4" s="49" t="str">
        <f t="shared" si="2"/>
        <v>KeurigCoffee Maker</v>
      </c>
      <c r="J4" s="34"/>
    </row>
    <row r="5" spans="1:13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26" t="s">
        <v>9</v>
      </c>
      <c r="G5" s="49" t="str">
        <f t="shared" si="0"/>
        <v>11-APR</v>
      </c>
      <c r="H5" s="49" t="str">
        <f t="shared" si="1"/>
        <v>US</v>
      </c>
      <c r="I5" s="49" t="str">
        <f t="shared" si="2"/>
        <v>Samsungsmartphone</v>
      </c>
      <c r="J5" s="34"/>
    </row>
    <row r="6" spans="1:13" ht="15.6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25"/>
      <c r="G6" s="49" t="str">
        <f t="shared" si="0"/>
        <v>22-MAY</v>
      </c>
      <c r="H6" s="49" t="str">
        <f t="shared" si="1"/>
        <v>US</v>
      </c>
      <c r="I6" s="49" t="str">
        <f t="shared" si="2"/>
        <v>North FaceBackpack</v>
      </c>
      <c r="J6" s="34"/>
      <c r="K6" s="6" t="s">
        <v>132</v>
      </c>
      <c r="L6" s="6"/>
    </row>
    <row r="7" spans="1:13">
      <c r="A7" s="5" t="s">
        <v>24</v>
      </c>
      <c r="B7" s="5" t="s">
        <v>25</v>
      </c>
      <c r="C7" s="5" t="s">
        <v>26</v>
      </c>
      <c r="D7" s="5"/>
      <c r="E7" s="5">
        <v>45</v>
      </c>
      <c r="F7" s="26" t="s">
        <v>27</v>
      </c>
      <c r="G7" s="49" t="str">
        <f t="shared" si="0"/>
        <v>07-JUN</v>
      </c>
      <c r="H7" s="49" t="str">
        <f t="shared" si="1"/>
        <v>UK</v>
      </c>
      <c r="I7" s="49" t="str">
        <f t="shared" si="2"/>
        <v>SonyHeadphones</v>
      </c>
      <c r="J7" s="34"/>
    </row>
    <row r="8" spans="1:13" ht="15.6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25" t="s">
        <v>13</v>
      </c>
      <c r="G8" s="49" t="str">
        <f t="shared" si="0"/>
        <v>19-JUL</v>
      </c>
      <c r="H8" s="49" t="str">
        <f t="shared" si="1"/>
        <v>UK</v>
      </c>
      <c r="I8" s="49" t="str">
        <f t="shared" si="2"/>
        <v>AdidasT-shirt</v>
      </c>
      <c r="J8" s="34"/>
      <c r="K8" s="28" t="s">
        <v>134</v>
      </c>
      <c r="L8" s="28"/>
    </row>
    <row r="9" spans="1:13" ht="15.6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26" t="s">
        <v>17</v>
      </c>
      <c r="G9" s="49" t="str">
        <f t="shared" si="0"/>
        <v>23-AUG</v>
      </c>
      <c r="H9" s="49" t="str">
        <f t="shared" si="1"/>
        <v>UK</v>
      </c>
      <c r="I9" s="49" t="str">
        <f t="shared" si="2"/>
        <v>NinjaBlender</v>
      </c>
      <c r="J9" s="34"/>
      <c r="K9" s="28"/>
      <c r="L9" s="28"/>
    </row>
    <row r="10" spans="1:13" ht="15.6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25" t="s">
        <v>9</v>
      </c>
      <c r="G10" s="49" t="str">
        <f t="shared" si="0"/>
        <v>05-SEP</v>
      </c>
      <c r="H10" s="49" t="str">
        <f t="shared" si="1"/>
        <v>UK</v>
      </c>
      <c r="I10" s="49" t="str">
        <f t="shared" si="2"/>
        <v>AppleTablet</v>
      </c>
      <c r="J10" s="34"/>
      <c r="K10" s="32" t="s">
        <v>138</v>
      </c>
      <c r="L10" s="37" t="s">
        <v>139</v>
      </c>
      <c r="M10" s="16" t="s">
        <v>140</v>
      </c>
    </row>
    <row r="11" spans="1:13" ht="15.6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26" t="s">
        <v>40</v>
      </c>
      <c r="G11" s="49" t="str">
        <f t="shared" si="0"/>
        <v>14-OCT</v>
      </c>
      <c r="H11" s="49" t="str">
        <f t="shared" si="1"/>
        <v>UK</v>
      </c>
      <c r="I11" s="49" t="str">
        <f t="shared" si="2"/>
        <v>TimberlandHiking Boots</v>
      </c>
      <c r="J11" s="34"/>
      <c r="K11" s="28"/>
      <c r="L11" s="28"/>
    </row>
    <row r="12" spans="1:13" ht="15.6">
      <c r="A12" s="4" t="s">
        <v>41</v>
      </c>
      <c r="B12" s="4" t="s">
        <v>42</v>
      </c>
      <c r="C12" s="4" t="s">
        <v>43</v>
      </c>
      <c r="D12" s="4">
        <v>950</v>
      </c>
      <c r="E12" s="4">
        <v>25</v>
      </c>
      <c r="F12" s="25" t="s">
        <v>9</v>
      </c>
      <c r="G12" s="49" t="str">
        <f t="shared" si="0"/>
        <v>17-JUN</v>
      </c>
      <c r="H12" s="49" t="str">
        <f t="shared" si="1"/>
        <v>IN</v>
      </c>
      <c r="I12" s="49" t="str">
        <f t="shared" si="2"/>
        <v>HPLaptop</v>
      </c>
      <c r="J12" s="34"/>
      <c r="K12" s="28"/>
      <c r="L12" s="37" t="s">
        <v>141</v>
      </c>
      <c r="M12" t="s">
        <v>142</v>
      </c>
    </row>
    <row r="13" spans="1:13" ht="15.6">
      <c r="A13" s="5" t="s">
        <v>44</v>
      </c>
      <c r="B13" s="5" t="s">
        <v>11</v>
      </c>
      <c r="C13" s="5" t="s">
        <v>30</v>
      </c>
      <c r="D13" s="5">
        <v>90</v>
      </c>
      <c r="E13" s="5">
        <v>40</v>
      </c>
      <c r="F13" s="26"/>
      <c r="G13" s="49" t="str">
        <f t="shared" si="0"/>
        <v>25-NOV</v>
      </c>
      <c r="H13" s="49" t="str">
        <f t="shared" si="1"/>
        <v>AU</v>
      </c>
      <c r="I13" s="49" t="str">
        <f t="shared" si="2"/>
        <v>AdidasSneakers</v>
      </c>
      <c r="J13" s="34"/>
      <c r="K13" s="28"/>
      <c r="L13" s="28"/>
    </row>
    <row r="14" spans="1:13" ht="15.6">
      <c r="A14" s="4" t="s">
        <v>45</v>
      </c>
      <c r="B14" s="4" t="s">
        <v>15</v>
      </c>
      <c r="C14" s="4" t="s">
        <v>46</v>
      </c>
      <c r="D14" s="4">
        <v>120</v>
      </c>
      <c r="E14" s="4">
        <v>35</v>
      </c>
      <c r="F14" s="25"/>
      <c r="G14" s="49" t="str">
        <f t="shared" si="0"/>
        <v>08-DEC</v>
      </c>
      <c r="H14" s="49" t="str">
        <f t="shared" si="1"/>
        <v>DE</v>
      </c>
      <c r="I14" s="49" t="str">
        <f t="shared" si="2"/>
        <v>NespressoCoffee Maker</v>
      </c>
      <c r="J14" s="34"/>
      <c r="K14" s="28" t="s">
        <v>137</v>
      </c>
      <c r="L14" s="28"/>
    </row>
    <row r="15" spans="1:13" ht="15.6">
      <c r="A15" s="5" t="s">
        <v>47</v>
      </c>
      <c r="B15" s="5" t="s">
        <v>48</v>
      </c>
      <c r="C15" s="5" t="s">
        <v>49</v>
      </c>
      <c r="D15" s="5">
        <v>150</v>
      </c>
      <c r="E15" s="5">
        <v>15</v>
      </c>
      <c r="F15" s="26" t="s">
        <v>27</v>
      </c>
      <c r="G15" s="49" t="str">
        <f t="shared" si="0"/>
        <v>18-FEB</v>
      </c>
      <c r="H15" s="49" t="str">
        <f t="shared" si="1"/>
        <v>CA</v>
      </c>
      <c r="I15" s="49" t="str">
        <f t="shared" si="2"/>
        <v>FitbitSmartwatch</v>
      </c>
      <c r="J15" s="34"/>
      <c r="K15" s="28"/>
    </row>
    <row r="16" spans="1:13" ht="15.6">
      <c r="A16" s="4" t="s">
        <v>50</v>
      </c>
      <c r="B16" s="4" t="s">
        <v>51</v>
      </c>
      <c r="C16" s="4" t="s">
        <v>52</v>
      </c>
      <c r="D16" s="4">
        <v>250</v>
      </c>
      <c r="E16" s="4">
        <v>20</v>
      </c>
      <c r="F16" s="25" t="s">
        <v>27</v>
      </c>
      <c r="G16" s="49" t="str">
        <f t="shared" si="0"/>
        <v>16-APR</v>
      </c>
      <c r="H16" s="49" t="str">
        <f t="shared" si="1"/>
        <v>ES</v>
      </c>
      <c r="I16" s="49" t="str">
        <f t="shared" si="2"/>
        <v>Boseheadphones</v>
      </c>
      <c r="J16" s="34"/>
      <c r="L16" s="37" t="s">
        <v>143</v>
      </c>
      <c r="M16" t="s">
        <v>144</v>
      </c>
    </row>
    <row r="17" spans="1:10">
      <c r="A17" s="5" t="s">
        <v>53</v>
      </c>
      <c r="B17" s="5" t="s">
        <v>54</v>
      </c>
      <c r="C17" s="5" t="s">
        <v>55</v>
      </c>
      <c r="D17" s="5">
        <v>50</v>
      </c>
      <c r="E17" s="5">
        <v>35</v>
      </c>
      <c r="F17" s="26" t="s">
        <v>56</v>
      </c>
      <c r="G17" s="49" t="str">
        <f t="shared" si="0"/>
        <v>21-AUG</v>
      </c>
      <c r="H17" s="49" t="str">
        <f t="shared" si="1"/>
        <v>CA</v>
      </c>
      <c r="I17" s="49" t="str">
        <f t="shared" si="2"/>
        <v>SamsoniteLaptop Bag</v>
      </c>
      <c r="J17" s="34"/>
    </row>
    <row r="18" spans="1:10">
      <c r="A18" s="4" t="s">
        <v>57</v>
      </c>
      <c r="B18" s="4" t="s">
        <v>48</v>
      </c>
      <c r="C18" s="4" t="s">
        <v>58</v>
      </c>
      <c r="D18" s="4">
        <v>160</v>
      </c>
      <c r="E18" s="4">
        <v>15</v>
      </c>
      <c r="F18" s="25" t="s">
        <v>27</v>
      </c>
      <c r="G18" s="49" t="str">
        <f t="shared" si="0"/>
        <v>20-AUG</v>
      </c>
      <c r="H18" s="49" t="str">
        <f t="shared" si="1"/>
        <v>CN</v>
      </c>
      <c r="I18" s="49" t="str">
        <f t="shared" si="2"/>
        <v>HuaweiSmartwatch</v>
      </c>
      <c r="J18" s="34"/>
    </row>
    <row r="19" spans="1:10">
      <c r="A19" s="5" t="s">
        <v>59</v>
      </c>
      <c r="B19" s="5" t="s">
        <v>7</v>
      </c>
      <c r="C19" s="5" t="s">
        <v>60</v>
      </c>
      <c r="D19" s="5">
        <v>980</v>
      </c>
      <c r="E19" s="5">
        <v>10</v>
      </c>
      <c r="F19" s="26" t="s">
        <v>9</v>
      </c>
      <c r="G19" s="49" t="str">
        <f t="shared" si="0"/>
        <v>27-JAN</v>
      </c>
      <c r="H19" s="49" t="str">
        <f t="shared" si="1"/>
        <v>IT</v>
      </c>
      <c r="I19" s="49" t="str">
        <f t="shared" si="2"/>
        <v>Asuslaptop</v>
      </c>
      <c r="J19" s="34"/>
    </row>
    <row r="20" spans="1:10">
      <c r="A20" s="4" t="s">
        <v>61</v>
      </c>
      <c r="B20" s="4" t="s">
        <v>62</v>
      </c>
      <c r="C20" s="4" t="s">
        <v>63</v>
      </c>
      <c r="D20" s="4">
        <v>150</v>
      </c>
      <c r="E20" s="4">
        <v>15</v>
      </c>
      <c r="F20" s="25" t="s">
        <v>13</v>
      </c>
      <c r="G20" s="49" t="str">
        <f t="shared" si="0"/>
        <v>01-MAR</v>
      </c>
      <c r="H20" s="49" t="str">
        <f t="shared" si="1"/>
        <v>UK</v>
      </c>
      <c r="I20" s="49" t="str">
        <f t="shared" si="2"/>
        <v>OakleySunglasses</v>
      </c>
      <c r="J20" s="34"/>
    </row>
    <row r="21" spans="1:10">
      <c r="A21" s="5" t="s">
        <v>64</v>
      </c>
      <c r="B21" s="5" t="s">
        <v>65</v>
      </c>
      <c r="C21" s="5" t="s">
        <v>66</v>
      </c>
      <c r="D21" s="5"/>
      <c r="E21" s="5">
        <v>10</v>
      </c>
      <c r="F21" s="26" t="s">
        <v>40</v>
      </c>
      <c r="G21" s="49" t="str">
        <f t="shared" si="0"/>
        <v>14-AUG</v>
      </c>
      <c r="H21" s="49" t="str">
        <f t="shared" si="1"/>
        <v>US</v>
      </c>
      <c r="I21" s="49" t="str">
        <f t="shared" si="2"/>
        <v>ColemanCamping Tent</v>
      </c>
      <c r="J21" s="34"/>
    </row>
    <row r="22" spans="1:10">
      <c r="A22" s="4" t="s">
        <v>67</v>
      </c>
      <c r="B22" s="4" t="s">
        <v>68</v>
      </c>
      <c r="C22" s="4" t="s">
        <v>69</v>
      </c>
      <c r="D22" s="4">
        <v>700</v>
      </c>
      <c r="E22" s="4">
        <v>50</v>
      </c>
      <c r="F22" s="25" t="s">
        <v>9</v>
      </c>
      <c r="G22" s="49" t="str">
        <f t="shared" si="0"/>
        <v>14-MAY</v>
      </c>
      <c r="H22" s="49" t="str">
        <f t="shared" si="1"/>
        <v>RU</v>
      </c>
      <c r="I22" s="49" t="str">
        <f t="shared" si="2"/>
        <v>NikonCamera</v>
      </c>
      <c r="J22" s="34"/>
    </row>
    <row r="23" spans="1:10">
      <c r="A23" s="5" t="s">
        <v>70</v>
      </c>
      <c r="B23" s="5" t="s">
        <v>71</v>
      </c>
      <c r="C23" s="5" t="s">
        <v>72</v>
      </c>
      <c r="D23" s="5">
        <v>80</v>
      </c>
      <c r="E23" s="5">
        <v>20</v>
      </c>
      <c r="F23" s="26" t="s">
        <v>17</v>
      </c>
      <c r="G23" s="49" t="str">
        <f t="shared" si="0"/>
        <v>09-JAN</v>
      </c>
      <c r="H23" s="49" t="str">
        <f t="shared" si="1"/>
        <v>CA</v>
      </c>
      <c r="I23" s="49" t="str">
        <f t="shared" si="2"/>
        <v>PanasonicMicrowave</v>
      </c>
      <c r="J23" s="34"/>
    </row>
    <row r="24" spans="1:10">
      <c r="A24" s="4" t="s">
        <v>73</v>
      </c>
      <c r="B24" s="4" t="s">
        <v>74</v>
      </c>
      <c r="C24" s="4" t="s">
        <v>75</v>
      </c>
      <c r="D24" s="4">
        <v>150</v>
      </c>
      <c r="E24" s="4">
        <v>30</v>
      </c>
      <c r="F24" s="25"/>
      <c r="G24" s="49" t="str">
        <f t="shared" si="0"/>
        <v>19-JUL</v>
      </c>
      <c r="H24" s="49" t="str">
        <f t="shared" si="1"/>
        <v>BR</v>
      </c>
      <c r="I24" s="49" t="str">
        <f t="shared" si="2"/>
        <v>XiaomiFitness Tracker</v>
      </c>
      <c r="J24" s="34"/>
    </row>
    <row r="25" spans="1:10">
      <c r="A25" s="4" t="s">
        <v>76</v>
      </c>
      <c r="B25" s="4" t="s">
        <v>77</v>
      </c>
      <c r="C25" s="4" t="s">
        <v>78</v>
      </c>
      <c r="D25" s="4">
        <v>800</v>
      </c>
      <c r="E25" s="4">
        <v>45</v>
      </c>
      <c r="F25" s="25" t="s">
        <v>9</v>
      </c>
      <c r="G25" s="49" t="str">
        <f t="shared" si="0"/>
        <v>29-SEP</v>
      </c>
      <c r="H25" s="49" t="str">
        <f t="shared" si="1"/>
        <v>CA</v>
      </c>
      <c r="I25" s="49" t="str">
        <f t="shared" si="2"/>
        <v>GoogleSmartphone</v>
      </c>
      <c r="J25" s="34"/>
    </row>
    <row r="26" spans="1:10">
      <c r="A26" s="5" t="s">
        <v>79</v>
      </c>
      <c r="B26" s="5" t="s">
        <v>62</v>
      </c>
      <c r="C26" s="5" t="s">
        <v>80</v>
      </c>
      <c r="D26" s="5"/>
      <c r="E26" s="5">
        <v>25</v>
      </c>
      <c r="F26" s="26" t="s">
        <v>13</v>
      </c>
      <c r="G26" s="49" t="str">
        <f t="shared" si="0"/>
        <v>03-JUN</v>
      </c>
      <c r="H26" s="49" t="str">
        <f t="shared" si="1"/>
        <v>CA</v>
      </c>
      <c r="I26" s="49" t="str">
        <f t="shared" si="2"/>
        <v>Ray-BanSunglasses</v>
      </c>
      <c r="J26" s="34"/>
    </row>
    <row r="27" spans="1:10">
      <c r="A27" s="4" t="s">
        <v>81</v>
      </c>
      <c r="B27" s="4" t="s">
        <v>32</v>
      </c>
      <c r="C27" s="4" t="s">
        <v>82</v>
      </c>
      <c r="D27" s="4">
        <v>400</v>
      </c>
      <c r="E27" s="4">
        <v>40</v>
      </c>
      <c r="F27" s="25" t="s">
        <v>17</v>
      </c>
      <c r="G27" s="49" t="str">
        <f t="shared" si="0"/>
        <v>11-JUL</v>
      </c>
      <c r="H27" s="49" t="str">
        <f t="shared" si="1"/>
        <v>CA</v>
      </c>
      <c r="I27" s="49" t="str">
        <f t="shared" si="2"/>
        <v>VitamixBlender</v>
      </c>
      <c r="J27" s="34"/>
    </row>
    <row r="28" spans="1:10">
      <c r="A28" s="4" t="s">
        <v>83</v>
      </c>
      <c r="B28" s="4" t="s">
        <v>84</v>
      </c>
      <c r="C28" s="4" t="s">
        <v>85</v>
      </c>
      <c r="D28" s="4">
        <v>60</v>
      </c>
      <c r="E28" s="4">
        <v>30</v>
      </c>
      <c r="F28" s="25" t="s">
        <v>13</v>
      </c>
      <c r="G28" s="49" t="str">
        <f t="shared" si="0"/>
        <v>07-MAR</v>
      </c>
      <c r="H28" s="49" t="str">
        <f t="shared" si="1"/>
        <v>CA</v>
      </c>
      <c r="I28" s="49" t="str">
        <f t="shared" si="2"/>
        <v>ZaraDress</v>
      </c>
      <c r="J28" s="34"/>
    </row>
    <row r="29" spans="1:10">
      <c r="A29" s="5" t="s">
        <v>86</v>
      </c>
      <c r="B29" s="5" t="s">
        <v>87</v>
      </c>
      <c r="C29" s="5" t="s">
        <v>88</v>
      </c>
      <c r="D29" s="5">
        <v>40</v>
      </c>
      <c r="E29" s="5">
        <v>10</v>
      </c>
      <c r="F29" s="26" t="s">
        <v>17</v>
      </c>
      <c r="G29" s="49" t="str">
        <f t="shared" si="0"/>
        <v>13-APR</v>
      </c>
      <c r="H29" s="49" t="str">
        <f t="shared" si="1"/>
        <v>CA</v>
      </c>
      <c r="I29" s="49" t="str">
        <f t="shared" si="2"/>
        <v>HamiltonToaster</v>
      </c>
      <c r="J29" s="34"/>
    </row>
    <row r="30" spans="1:10">
      <c r="A30" s="4" t="s">
        <v>89</v>
      </c>
      <c r="B30" s="4" t="s">
        <v>74</v>
      </c>
      <c r="C30" s="4" t="s">
        <v>90</v>
      </c>
      <c r="D30" s="4">
        <v>130</v>
      </c>
      <c r="E30" s="4">
        <v>5</v>
      </c>
      <c r="F30" s="25" t="s">
        <v>9</v>
      </c>
      <c r="G30" s="49" t="str">
        <f t="shared" si="0"/>
        <v>24-MAY</v>
      </c>
      <c r="H30" s="49" t="str">
        <f t="shared" si="1"/>
        <v>CA</v>
      </c>
      <c r="I30" s="49" t="str">
        <f t="shared" si="2"/>
        <v>GarminFitness Tracker</v>
      </c>
      <c r="J30" s="34"/>
    </row>
    <row r="31" spans="1:10">
      <c r="A31" s="5" t="s">
        <v>91</v>
      </c>
      <c r="B31" s="5" t="s">
        <v>92</v>
      </c>
      <c r="C31" s="5" t="s">
        <v>93</v>
      </c>
      <c r="D31" s="5">
        <v>50</v>
      </c>
      <c r="E31" s="5">
        <v>50</v>
      </c>
      <c r="F31" s="26" t="s">
        <v>13</v>
      </c>
      <c r="G31" s="49" t="str">
        <f t="shared" si="0"/>
        <v>02-DEC</v>
      </c>
      <c r="H31" s="49" t="str">
        <f t="shared" si="1"/>
        <v>CA</v>
      </c>
      <c r="I31" s="49" t="str">
        <f t="shared" si="2"/>
        <v>Levi'sJeans</v>
      </c>
      <c r="J31" s="34"/>
    </row>
    <row r="32" spans="1:10">
      <c r="A32" s="5" t="s">
        <v>94</v>
      </c>
      <c r="B32" s="5" t="s">
        <v>95</v>
      </c>
      <c r="C32" s="5" t="s">
        <v>96</v>
      </c>
      <c r="D32" s="5">
        <v>100</v>
      </c>
      <c r="E32" s="5">
        <v>20</v>
      </c>
      <c r="F32" s="26" t="s">
        <v>56</v>
      </c>
      <c r="G32" s="49" t="str">
        <f t="shared" si="0"/>
        <v>09-JUL</v>
      </c>
      <c r="H32" s="49" t="str">
        <f t="shared" si="1"/>
        <v>FR</v>
      </c>
      <c r="I32" s="49" t="str">
        <f t="shared" si="2"/>
        <v>CasioWatch</v>
      </c>
      <c r="J32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B26E-7CB2-4D79-81FA-3928780D7684}">
  <dimension ref="A1:M32"/>
  <sheetViews>
    <sheetView zoomScaleNormal="100" workbookViewId="0">
      <selection activeCell="I36" sqref="I36"/>
    </sheetView>
  </sheetViews>
  <sheetFormatPr defaultRowHeight="13.2"/>
  <cols>
    <col min="1" max="1" width="10.5546875" bestFit="1" customWidth="1"/>
    <col min="2" max="2" width="13.21875" bestFit="1" customWidth="1"/>
    <col min="3" max="3" width="11.44140625" bestFit="1" customWidth="1"/>
    <col min="4" max="4" width="7.88671875" bestFit="1" customWidth="1"/>
    <col min="5" max="5" width="8.33203125" bestFit="1" customWidth="1"/>
    <col min="6" max="6" width="10.44140625" bestFit="1" customWidth="1"/>
    <col min="7" max="7" width="7.88671875" style="42" bestFit="1" customWidth="1"/>
    <col min="8" max="8" width="16.6640625" bestFit="1" customWidth="1"/>
    <col min="9" max="9" width="28.6640625" customWidth="1"/>
    <col min="11" max="11" width="28.44140625" customWidth="1"/>
  </cols>
  <sheetData>
    <row r="1" spans="1:13" ht="14.4">
      <c r="A1" s="1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9" t="s">
        <v>3</v>
      </c>
      <c r="H1" s="43" t="s">
        <v>152</v>
      </c>
      <c r="I1" s="43" t="s">
        <v>153</v>
      </c>
    </row>
    <row r="2" spans="1:13" ht="14.4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  <c r="G2" s="40">
        <v>1000</v>
      </c>
      <c r="H2" s="44" t="str">
        <f>LEFT(A2,6)</f>
        <v>28-JAN</v>
      </c>
      <c r="I2" s="45" t="str">
        <f>TEXT(H2,"DD-MM-YYY")</f>
        <v>28-01-2026</v>
      </c>
    </row>
    <row r="3" spans="1:13" ht="14.4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5" t="s">
        <v>13</v>
      </c>
      <c r="G3" s="41">
        <v>80</v>
      </c>
      <c r="H3" s="13" t="str">
        <f t="shared" ref="H3:H32" si="0">LEFT(A3,6)</f>
        <v>15-FEB</v>
      </c>
      <c r="I3" s="45" t="str">
        <f t="shared" ref="I3:I32" si="1">TEXT(H3,"DD-MM-YYY")</f>
        <v>15-02-2026</v>
      </c>
    </row>
    <row r="4" spans="1:13" ht="14.4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  <c r="G4" s="40">
        <v>130</v>
      </c>
      <c r="H4" s="13" t="str">
        <f t="shared" si="0"/>
        <v>03-MAR</v>
      </c>
      <c r="I4" s="45" t="str">
        <f t="shared" si="1"/>
        <v>03-03-2026</v>
      </c>
    </row>
    <row r="5" spans="1:13" ht="15.6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5" t="s">
        <v>9</v>
      </c>
      <c r="G5" s="41">
        <v>900</v>
      </c>
      <c r="H5" s="13" t="str">
        <f t="shared" si="0"/>
        <v>11-APR</v>
      </c>
      <c r="I5" s="45" t="str">
        <f t="shared" si="1"/>
        <v>11-04-2026</v>
      </c>
      <c r="K5" s="6" t="s">
        <v>146</v>
      </c>
    </row>
    <row r="6" spans="1:13" ht="14.4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4"/>
      <c r="G6" s="40">
        <v>70</v>
      </c>
      <c r="H6" s="13" t="str">
        <f t="shared" si="0"/>
        <v>22-MAY</v>
      </c>
      <c r="I6" s="45" t="str">
        <f t="shared" si="1"/>
        <v>22-05-2026</v>
      </c>
    </row>
    <row r="7" spans="1:13" ht="15.6">
      <c r="A7" s="5" t="s">
        <v>24</v>
      </c>
      <c r="B7" s="5" t="s">
        <v>25</v>
      </c>
      <c r="C7" s="5" t="s">
        <v>26</v>
      </c>
      <c r="D7" s="5"/>
      <c r="E7" s="5">
        <v>45</v>
      </c>
      <c r="F7" s="5" t="s">
        <v>27</v>
      </c>
      <c r="G7" s="41"/>
      <c r="H7" s="13" t="str">
        <f t="shared" si="0"/>
        <v>07-JUN</v>
      </c>
      <c r="I7" s="45" t="str">
        <f t="shared" si="1"/>
        <v>07-06-2026</v>
      </c>
      <c r="K7" s="28" t="s">
        <v>147</v>
      </c>
      <c r="L7" s="28"/>
      <c r="M7" s="28"/>
    </row>
    <row r="8" spans="1:13" ht="15.6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4" t="s">
        <v>13</v>
      </c>
      <c r="G8" s="40">
        <v>30</v>
      </c>
      <c r="H8" s="13" t="str">
        <f t="shared" si="0"/>
        <v>19-JUL</v>
      </c>
      <c r="I8" s="45" t="str">
        <f t="shared" si="1"/>
        <v>19-07-2026</v>
      </c>
      <c r="K8" s="28"/>
      <c r="L8" s="28"/>
      <c r="M8" s="28"/>
    </row>
    <row r="9" spans="1:13" ht="15.6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5" t="s">
        <v>17</v>
      </c>
      <c r="G9" s="41">
        <v>90</v>
      </c>
      <c r="H9" s="13" t="str">
        <f t="shared" si="0"/>
        <v>23-AUG</v>
      </c>
      <c r="I9" s="45" t="str">
        <f t="shared" si="1"/>
        <v>23-08-2026</v>
      </c>
      <c r="K9" s="46" t="s">
        <v>148</v>
      </c>
      <c r="L9" s="28"/>
      <c r="M9" s="28"/>
    </row>
    <row r="10" spans="1:13" ht="15.6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4" t="s">
        <v>9</v>
      </c>
      <c r="G10" s="40">
        <v>500</v>
      </c>
      <c r="H10" s="13" t="str">
        <f t="shared" si="0"/>
        <v>05-SEP</v>
      </c>
      <c r="I10" s="45" t="str">
        <f t="shared" si="1"/>
        <v>05-09-2026</v>
      </c>
      <c r="K10" s="28" t="s">
        <v>149</v>
      </c>
      <c r="L10" s="28"/>
      <c r="M10" s="28"/>
    </row>
    <row r="11" spans="1:13" ht="15.6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5" t="s">
        <v>40</v>
      </c>
      <c r="G11" s="41">
        <v>130</v>
      </c>
      <c r="H11" s="13" t="str">
        <f t="shared" si="0"/>
        <v>14-OCT</v>
      </c>
      <c r="I11" s="45" t="str">
        <f t="shared" si="1"/>
        <v>14-10-2026</v>
      </c>
      <c r="K11" s="28" t="s">
        <v>150</v>
      </c>
      <c r="L11" s="28"/>
      <c r="M11" s="28"/>
    </row>
    <row r="12" spans="1:13" ht="15.6">
      <c r="A12" s="4" t="s">
        <v>41</v>
      </c>
      <c r="B12" s="4" t="s">
        <v>42</v>
      </c>
      <c r="C12" s="4" t="s">
        <v>43</v>
      </c>
      <c r="D12" s="4">
        <v>950</v>
      </c>
      <c r="E12" s="4">
        <v>25</v>
      </c>
      <c r="F12" s="4" t="s">
        <v>9</v>
      </c>
      <c r="G12" s="40">
        <v>950</v>
      </c>
      <c r="H12" s="13" t="str">
        <f t="shared" si="0"/>
        <v>17-JUN</v>
      </c>
      <c r="I12" s="45" t="str">
        <f t="shared" si="1"/>
        <v>17-06-2026</v>
      </c>
      <c r="K12" s="28" t="s">
        <v>151</v>
      </c>
      <c r="L12" s="28"/>
      <c r="M12" s="28"/>
    </row>
    <row r="13" spans="1:13" ht="15.6">
      <c r="A13" s="5" t="s">
        <v>44</v>
      </c>
      <c r="B13" s="5" t="s">
        <v>11</v>
      </c>
      <c r="C13" s="5" t="s">
        <v>30</v>
      </c>
      <c r="D13" s="5">
        <v>90</v>
      </c>
      <c r="E13" s="5">
        <v>40</v>
      </c>
      <c r="F13" s="5"/>
      <c r="G13" s="41">
        <v>90</v>
      </c>
      <c r="H13" s="13" t="str">
        <f t="shared" si="0"/>
        <v>25-NOV</v>
      </c>
      <c r="I13" s="45" t="str">
        <f t="shared" si="1"/>
        <v>25-11-2026</v>
      </c>
      <c r="K13" s="28"/>
      <c r="L13" s="28"/>
      <c r="M13" s="28"/>
    </row>
    <row r="14" spans="1:13" ht="15.6">
      <c r="A14" s="4" t="s">
        <v>45</v>
      </c>
      <c r="B14" s="4" t="s">
        <v>15</v>
      </c>
      <c r="C14" s="4" t="s">
        <v>46</v>
      </c>
      <c r="D14" s="4">
        <v>120</v>
      </c>
      <c r="E14" s="4">
        <v>35</v>
      </c>
      <c r="F14" s="4"/>
      <c r="G14" s="40">
        <v>120</v>
      </c>
      <c r="H14" s="13" t="str">
        <f t="shared" si="0"/>
        <v>08-DEC</v>
      </c>
      <c r="I14" s="45" t="str">
        <f t="shared" si="1"/>
        <v>08-12-2026</v>
      </c>
      <c r="K14" s="28"/>
      <c r="L14" s="28"/>
      <c r="M14" s="28"/>
    </row>
    <row r="15" spans="1:13" ht="15.6">
      <c r="A15" s="5" t="s">
        <v>47</v>
      </c>
      <c r="B15" s="5" t="s">
        <v>48</v>
      </c>
      <c r="C15" s="5" t="s">
        <v>49</v>
      </c>
      <c r="D15" s="5">
        <v>150</v>
      </c>
      <c r="E15" s="5">
        <v>15</v>
      </c>
      <c r="F15" s="5" t="s">
        <v>27</v>
      </c>
      <c r="G15" s="41">
        <v>150</v>
      </c>
      <c r="H15" s="13" t="str">
        <f t="shared" si="0"/>
        <v>18-FEB</v>
      </c>
      <c r="I15" s="45" t="str">
        <f t="shared" si="1"/>
        <v>18-02-2026</v>
      </c>
      <c r="K15" s="28"/>
      <c r="L15" s="28"/>
      <c r="M15" s="28"/>
    </row>
    <row r="16" spans="1:13" ht="15.6">
      <c r="A16" s="4" t="s">
        <v>50</v>
      </c>
      <c r="B16" s="4" t="s">
        <v>51</v>
      </c>
      <c r="C16" s="4" t="s">
        <v>52</v>
      </c>
      <c r="D16" s="4">
        <v>250</v>
      </c>
      <c r="E16" s="4">
        <v>20</v>
      </c>
      <c r="F16" s="4" t="s">
        <v>27</v>
      </c>
      <c r="G16" s="40">
        <v>250</v>
      </c>
      <c r="H16" s="13" t="str">
        <f t="shared" si="0"/>
        <v>16-APR</v>
      </c>
      <c r="I16" s="45" t="str">
        <f t="shared" si="1"/>
        <v>16-04-2026</v>
      </c>
      <c r="K16" s="38" t="s">
        <v>156</v>
      </c>
      <c r="L16" s="28"/>
      <c r="M16" s="28"/>
    </row>
    <row r="17" spans="1:13" ht="15.6">
      <c r="A17" s="5" t="s">
        <v>53</v>
      </c>
      <c r="B17" s="5" t="s">
        <v>54</v>
      </c>
      <c r="C17" s="5" t="s">
        <v>55</v>
      </c>
      <c r="D17" s="5">
        <v>50</v>
      </c>
      <c r="E17" s="5">
        <v>35</v>
      </c>
      <c r="F17" s="5" t="s">
        <v>56</v>
      </c>
      <c r="G17" s="41">
        <v>50</v>
      </c>
      <c r="H17" s="13" t="str">
        <f t="shared" si="0"/>
        <v>21-AUG</v>
      </c>
      <c r="I17" s="45" t="str">
        <f t="shared" si="1"/>
        <v>21-08-2026</v>
      </c>
      <c r="K17" s="28"/>
      <c r="L17" s="28"/>
      <c r="M17" s="28"/>
    </row>
    <row r="18" spans="1:13" ht="15.6">
      <c r="A18" s="4" t="s">
        <v>57</v>
      </c>
      <c r="B18" s="4" t="s">
        <v>48</v>
      </c>
      <c r="C18" s="4" t="s">
        <v>58</v>
      </c>
      <c r="D18" s="4">
        <v>160</v>
      </c>
      <c r="E18" s="4">
        <v>15</v>
      </c>
      <c r="F18" s="4" t="s">
        <v>27</v>
      </c>
      <c r="G18" s="40">
        <v>160</v>
      </c>
      <c r="H18" s="13" t="str">
        <f t="shared" si="0"/>
        <v>20-AUG</v>
      </c>
      <c r="I18" s="45" t="str">
        <f t="shared" si="1"/>
        <v>20-08-2026</v>
      </c>
      <c r="K18" s="46" t="s">
        <v>101</v>
      </c>
      <c r="L18" s="28" t="s">
        <v>154</v>
      </c>
    </row>
    <row r="19" spans="1:13" ht="15.6">
      <c r="A19" s="5" t="s">
        <v>59</v>
      </c>
      <c r="B19" s="5" t="s">
        <v>7</v>
      </c>
      <c r="C19" s="5" t="s">
        <v>60</v>
      </c>
      <c r="D19" s="5">
        <v>980</v>
      </c>
      <c r="E19" s="5">
        <v>10</v>
      </c>
      <c r="F19" s="5" t="s">
        <v>9</v>
      </c>
      <c r="G19" s="41">
        <v>980</v>
      </c>
      <c r="H19" s="13" t="str">
        <f t="shared" si="0"/>
        <v>27-JAN</v>
      </c>
      <c r="I19" s="45" t="str">
        <f t="shared" si="1"/>
        <v>27-01-2026</v>
      </c>
      <c r="K19" s="28"/>
      <c r="L19" s="28"/>
      <c r="M19" s="28"/>
    </row>
    <row r="20" spans="1:13" ht="15.6">
      <c r="A20" s="4" t="s">
        <v>61</v>
      </c>
      <c r="B20" s="4" t="s">
        <v>62</v>
      </c>
      <c r="C20" s="4" t="s">
        <v>63</v>
      </c>
      <c r="D20" s="4">
        <v>150</v>
      </c>
      <c r="E20" s="4">
        <v>15</v>
      </c>
      <c r="F20" s="4" t="s">
        <v>13</v>
      </c>
      <c r="G20" s="40">
        <v>150</v>
      </c>
      <c r="H20" s="13" t="str">
        <f t="shared" si="0"/>
        <v>01-MAR</v>
      </c>
      <c r="I20" s="45" t="str">
        <f t="shared" si="1"/>
        <v>01-03-2026</v>
      </c>
      <c r="K20" s="28"/>
      <c r="L20" s="28"/>
      <c r="M20" s="28"/>
    </row>
    <row r="21" spans="1:13" ht="15.6">
      <c r="A21" s="5" t="s">
        <v>64</v>
      </c>
      <c r="B21" s="5" t="s">
        <v>65</v>
      </c>
      <c r="C21" s="5" t="s">
        <v>66</v>
      </c>
      <c r="D21" s="5"/>
      <c r="E21" s="5">
        <v>10</v>
      </c>
      <c r="F21" s="5" t="s">
        <v>40</v>
      </c>
      <c r="G21" s="41"/>
      <c r="H21" s="13" t="str">
        <f t="shared" si="0"/>
        <v>14-AUG</v>
      </c>
      <c r="I21" s="45" t="str">
        <f t="shared" si="1"/>
        <v>14-08-2026</v>
      </c>
      <c r="K21" s="28" t="s">
        <v>155</v>
      </c>
      <c r="L21" s="28"/>
      <c r="M21" s="28"/>
    </row>
    <row r="22" spans="1:13" ht="14.4">
      <c r="A22" s="4" t="s">
        <v>67</v>
      </c>
      <c r="B22" s="4" t="s">
        <v>68</v>
      </c>
      <c r="C22" s="4" t="s">
        <v>69</v>
      </c>
      <c r="D22" s="4">
        <v>700</v>
      </c>
      <c r="E22" s="4">
        <v>50</v>
      </c>
      <c r="F22" s="4" t="s">
        <v>9</v>
      </c>
      <c r="G22" s="40">
        <v>700</v>
      </c>
      <c r="H22" s="13" t="str">
        <f t="shared" si="0"/>
        <v>14-MAY</v>
      </c>
      <c r="I22" s="45" t="str">
        <f t="shared" si="1"/>
        <v>14-05-2026</v>
      </c>
    </row>
    <row r="23" spans="1:13" ht="14.4">
      <c r="A23" s="5" t="s">
        <v>70</v>
      </c>
      <c r="B23" s="5" t="s">
        <v>71</v>
      </c>
      <c r="C23" s="5" t="s">
        <v>72</v>
      </c>
      <c r="D23" s="5">
        <v>80</v>
      </c>
      <c r="E23" s="5">
        <v>20</v>
      </c>
      <c r="F23" s="5" t="s">
        <v>17</v>
      </c>
      <c r="G23" s="41">
        <v>80</v>
      </c>
      <c r="H23" s="13" t="str">
        <f t="shared" si="0"/>
        <v>09-JAN</v>
      </c>
      <c r="I23" s="45" t="str">
        <f t="shared" si="1"/>
        <v>09-01-2026</v>
      </c>
    </row>
    <row r="24" spans="1:13" ht="14.4">
      <c r="A24" s="4" t="s">
        <v>73</v>
      </c>
      <c r="B24" s="4" t="s">
        <v>74</v>
      </c>
      <c r="C24" s="4" t="s">
        <v>75</v>
      </c>
      <c r="D24" s="4">
        <v>150</v>
      </c>
      <c r="E24" s="4">
        <v>30</v>
      </c>
      <c r="F24" s="4"/>
      <c r="G24" s="40">
        <v>150</v>
      </c>
      <c r="H24" s="13" t="str">
        <f t="shared" si="0"/>
        <v>19-JUL</v>
      </c>
      <c r="I24" s="45" t="str">
        <f t="shared" si="1"/>
        <v>19-07-2026</v>
      </c>
    </row>
    <row r="25" spans="1:13" ht="14.4">
      <c r="A25" s="4" t="s">
        <v>76</v>
      </c>
      <c r="B25" s="4" t="s">
        <v>77</v>
      </c>
      <c r="C25" s="4" t="s">
        <v>78</v>
      </c>
      <c r="D25" s="4">
        <v>800</v>
      </c>
      <c r="E25" s="4">
        <v>45</v>
      </c>
      <c r="F25" s="4" t="s">
        <v>9</v>
      </c>
      <c r="G25" s="40">
        <v>800</v>
      </c>
      <c r="H25" s="13" t="str">
        <f t="shared" si="0"/>
        <v>29-SEP</v>
      </c>
      <c r="I25" s="45" t="str">
        <f t="shared" si="1"/>
        <v>29-09-2026</v>
      </c>
    </row>
    <row r="26" spans="1:13" ht="14.4">
      <c r="A26" s="5" t="s">
        <v>79</v>
      </c>
      <c r="B26" s="5" t="s">
        <v>62</v>
      </c>
      <c r="C26" s="5" t="s">
        <v>80</v>
      </c>
      <c r="D26" s="5"/>
      <c r="E26" s="5">
        <v>25</v>
      </c>
      <c r="F26" s="5" t="s">
        <v>13</v>
      </c>
      <c r="G26" s="41"/>
      <c r="H26" s="13" t="str">
        <f t="shared" si="0"/>
        <v>03-JUN</v>
      </c>
      <c r="I26" s="45" t="str">
        <f t="shared" si="1"/>
        <v>03-06-2026</v>
      </c>
    </row>
    <row r="27" spans="1:13" ht="14.4">
      <c r="A27" s="4" t="s">
        <v>81</v>
      </c>
      <c r="B27" s="4" t="s">
        <v>32</v>
      </c>
      <c r="C27" s="4" t="s">
        <v>82</v>
      </c>
      <c r="D27" s="4">
        <v>400</v>
      </c>
      <c r="E27" s="4">
        <v>40</v>
      </c>
      <c r="F27" s="4" t="s">
        <v>17</v>
      </c>
      <c r="G27" s="40">
        <v>400</v>
      </c>
      <c r="H27" s="13" t="str">
        <f t="shared" si="0"/>
        <v>11-JUL</v>
      </c>
      <c r="I27" s="45" t="str">
        <f t="shared" si="1"/>
        <v>11-07-2026</v>
      </c>
    </row>
    <row r="28" spans="1:13" ht="14.4">
      <c r="A28" s="4" t="s">
        <v>83</v>
      </c>
      <c r="B28" s="4" t="s">
        <v>84</v>
      </c>
      <c r="C28" s="4" t="s">
        <v>85</v>
      </c>
      <c r="D28" s="4">
        <v>60</v>
      </c>
      <c r="E28" s="4">
        <v>30</v>
      </c>
      <c r="F28" s="4" t="s">
        <v>13</v>
      </c>
      <c r="G28" s="40">
        <v>60</v>
      </c>
      <c r="H28" s="13" t="str">
        <f t="shared" si="0"/>
        <v>07-MAR</v>
      </c>
      <c r="I28" s="45" t="str">
        <f t="shared" si="1"/>
        <v>07-03-2026</v>
      </c>
    </row>
    <row r="29" spans="1:13" ht="14.4">
      <c r="A29" s="5" t="s">
        <v>86</v>
      </c>
      <c r="B29" s="5" t="s">
        <v>87</v>
      </c>
      <c r="C29" s="5" t="s">
        <v>88</v>
      </c>
      <c r="D29" s="5">
        <v>40</v>
      </c>
      <c r="E29" s="5">
        <v>10</v>
      </c>
      <c r="F29" s="5" t="s">
        <v>17</v>
      </c>
      <c r="G29" s="41">
        <v>40</v>
      </c>
      <c r="H29" s="13" t="str">
        <f t="shared" si="0"/>
        <v>13-APR</v>
      </c>
      <c r="I29" s="45" t="str">
        <f t="shared" si="1"/>
        <v>13-04-2026</v>
      </c>
    </row>
    <row r="30" spans="1:13" ht="14.4">
      <c r="A30" s="4" t="s">
        <v>89</v>
      </c>
      <c r="B30" s="4" t="s">
        <v>74</v>
      </c>
      <c r="C30" s="4" t="s">
        <v>90</v>
      </c>
      <c r="D30" s="4">
        <v>130</v>
      </c>
      <c r="E30" s="4">
        <v>5</v>
      </c>
      <c r="F30" s="4" t="s">
        <v>9</v>
      </c>
      <c r="G30" s="40">
        <v>130</v>
      </c>
      <c r="H30" s="13" t="str">
        <f t="shared" si="0"/>
        <v>24-MAY</v>
      </c>
      <c r="I30" s="45" t="str">
        <f t="shared" si="1"/>
        <v>24-05-2026</v>
      </c>
    </row>
    <row r="31" spans="1:13" ht="14.4">
      <c r="A31" s="5" t="s">
        <v>91</v>
      </c>
      <c r="B31" s="5" t="s">
        <v>92</v>
      </c>
      <c r="C31" s="5" t="s">
        <v>93</v>
      </c>
      <c r="D31" s="5">
        <v>50</v>
      </c>
      <c r="E31" s="5">
        <v>50</v>
      </c>
      <c r="F31" s="5" t="s">
        <v>13</v>
      </c>
      <c r="G31" s="41">
        <v>50</v>
      </c>
      <c r="H31" s="13" t="str">
        <f t="shared" si="0"/>
        <v>02-DEC</v>
      </c>
      <c r="I31" s="45" t="str">
        <f t="shared" si="1"/>
        <v>02-12-2026</v>
      </c>
    </row>
    <row r="32" spans="1:13" ht="14.4">
      <c r="A32" s="5" t="s">
        <v>94</v>
      </c>
      <c r="B32" s="5" t="s">
        <v>95</v>
      </c>
      <c r="C32" s="5" t="s">
        <v>96</v>
      </c>
      <c r="D32" s="5">
        <v>100</v>
      </c>
      <c r="E32" s="5">
        <v>20</v>
      </c>
      <c r="F32" s="5" t="s">
        <v>56</v>
      </c>
      <c r="G32" s="41">
        <v>100</v>
      </c>
      <c r="H32" s="13" t="str">
        <f t="shared" si="0"/>
        <v>09-JUL</v>
      </c>
      <c r="I32" s="45" t="str">
        <f t="shared" si="1"/>
        <v>09-07-2026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7D1A-51BE-4DDD-8B29-58839AE278EF}">
  <dimension ref="A1:K32"/>
  <sheetViews>
    <sheetView topLeftCell="A10" zoomScaleNormal="100" workbookViewId="0">
      <selection activeCell="D36" sqref="D36"/>
    </sheetView>
  </sheetViews>
  <sheetFormatPr defaultColWidth="9.33203125" defaultRowHeight="13.2"/>
  <cols>
    <col min="1" max="1" width="10.5546875" bestFit="1" customWidth="1"/>
    <col min="2" max="2" width="13.21875" bestFit="1" customWidth="1"/>
  </cols>
  <sheetData>
    <row r="1" spans="1:11" ht="15.6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</row>
    <row r="2" spans="1:11" ht="14.4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</row>
    <row r="3" spans="1:11" ht="14.4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5" t="s">
        <v>13</v>
      </c>
    </row>
    <row r="4" spans="1:11" ht="14.4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</row>
    <row r="5" spans="1:11" ht="14.4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5" t="s">
        <v>9</v>
      </c>
    </row>
    <row r="6" spans="1:11" ht="14.4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4"/>
    </row>
    <row r="7" spans="1:11" ht="15.6">
      <c r="A7" s="5" t="s">
        <v>24</v>
      </c>
      <c r="B7" s="5" t="s">
        <v>25</v>
      </c>
      <c r="C7" s="5" t="s">
        <v>26</v>
      </c>
      <c r="D7" s="5"/>
      <c r="E7" s="5">
        <v>45</v>
      </c>
      <c r="F7" s="5" t="s">
        <v>27</v>
      </c>
      <c r="I7" s="6" t="s">
        <v>157</v>
      </c>
    </row>
    <row r="8" spans="1:11" ht="14.4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4" t="s">
        <v>13</v>
      </c>
    </row>
    <row r="9" spans="1:11" ht="15.6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5" t="s">
        <v>17</v>
      </c>
      <c r="J9" s="28" t="s">
        <v>158</v>
      </c>
      <c r="K9" s="28"/>
    </row>
    <row r="10" spans="1:11" ht="15.6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5" t="s">
        <v>9</v>
      </c>
      <c r="J10" s="28" t="s">
        <v>159</v>
      </c>
      <c r="K10" s="28"/>
    </row>
    <row r="11" spans="1:11" ht="15.6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5" t="s">
        <v>40</v>
      </c>
      <c r="J11" s="28" t="s">
        <v>160</v>
      </c>
      <c r="K11" s="28"/>
    </row>
    <row r="12" spans="1:11" ht="15.6">
      <c r="A12" s="4" t="s">
        <v>41</v>
      </c>
      <c r="B12" s="4" t="s">
        <v>42</v>
      </c>
      <c r="C12" s="4" t="s">
        <v>43</v>
      </c>
      <c r="D12" s="4">
        <v>950</v>
      </c>
      <c r="E12" s="4">
        <v>25</v>
      </c>
      <c r="F12" s="5" t="s">
        <v>9</v>
      </c>
      <c r="J12" s="28"/>
      <c r="K12" s="28"/>
    </row>
    <row r="13" spans="1:11" ht="15.6">
      <c r="A13" s="5" t="s">
        <v>44</v>
      </c>
      <c r="B13" s="5" t="s">
        <v>11</v>
      </c>
      <c r="C13" s="5" t="s">
        <v>30</v>
      </c>
      <c r="D13" s="5">
        <v>90</v>
      </c>
      <c r="E13" s="5">
        <v>40</v>
      </c>
      <c r="F13" s="5"/>
      <c r="I13" s="28" t="s">
        <v>161</v>
      </c>
      <c r="J13" s="28"/>
      <c r="K13" s="28"/>
    </row>
    <row r="14" spans="1:11" ht="15.6">
      <c r="A14" s="4" t="s">
        <v>45</v>
      </c>
      <c r="B14" s="4" t="s">
        <v>15</v>
      </c>
      <c r="C14" s="4" t="s">
        <v>46</v>
      </c>
      <c r="D14" s="4">
        <v>120</v>
      </c>
      <c r="E14" s="4">
        <v>35</v>
      </c>
      <c r="F14" s="4"/>
      <c r="J14" s="28"/>
      <c r="K14" s="28"/>
    </row>
    <row r="15" spans="1:11" ht="15.6">
      <c r="A15" s="5" t="s">
        <v>47</v>
      </c>
      <c r="B15" s="5" t="s">
        <v>48</v>
      </c>
      <c r="C15" s="5" t="s">
        <v>49</v>
      </c>
      <c r="D15" s="5">
        <v>150</v>
      </c>
      <c r="E15" s="5">
        <v>15</v>
      </c>
      <c r="F15" s="5" t="s">
        <v>27</v>
      </c>
      <c r="J15" s="28" t="s">
        <v>162</v>
      </c>
      <c r="K15" s="28"/>
    </row>
    <row r="16" spans="1:11" ht="15.6">
      <c r="A16" s="4" t="s">
        <v>50</v>
      </c>
      <c r="B16" s="4" t="s">
        <v>51</v>
      </c>
      <c r="C16" s="4" t="s">
        <v>52</v>
      </c>
      <c r="D16" s="4">
        <v>250</v>
      </c>
      <c r="E16" s="4">
        <v>20</v>
      </c>
      <c r="F16" s="4" t="s">
        <v>27</v>
      </c>
      <c r="J16" s="28" t="s">
        <v>163</v>
      </c>
      <c r="K16" s="28"/>
    </row>
    <row r="17" spans="1:11" ht="15.6">
      <c r="A17" s="5" t="s">
        <v>53</v>
      </c>
      <c r="B17" s="5" t="s">
        <v>54</v>
      </c>
      <c r="C17" s="5" t="s">
        <v>55</v>
      </c>
      <c r="D17" s="5">
        <v>50</v>
      </c>
      <c r="E17" s="5">
        <v>35</v>
      </c>
      <c r="F17" s="5" t="s">
        <v>56</v>
      </c>
      <c r="J17" s="28" t="s">
        <v>164</v>
      </c>
      <c r="K17" s="28"/>
    </row>
    <row r="18" spans="1:11" ht="15.6">
      <c r="A18" s="4" t="s">
        <v>57</v>
      </c>
      <c r="B18" s="4" t="s">
        <v>48</v>
      </c>
      <c r="C18" s="4" t="s">
        <v>58</v>
      </c>
      <c r="D18" s="4">
        <v>160</v>
      </c>
      <c r="E18" s="4">
        <v>15</v>
      </c>
      <c r="F18" s="4" t="s">
        <v>27</v>
      </c>
      <c r="K18" s="28"/>
    </row>
    <row r="19" spans="1:11" ht="15.6">
      <c r="A19" s="5" t="s">
        <v>59</v>
      </c>
      <c r="B19" s="5" t="s">
        <v>7</v>
      </c>
      <c r="C19" s="5" t="s">
        <v>60</v>
      </c>
      <c r="D19" s="5">
        <v>980</v>
      </c>
      <c r="E19" s="5">
        <v>10</v>
      </c>
      <c r="F19" s="5" t="s">
        <v>9</v>
      </c>
      <c r="K19" s="28"/>
    </row>
    <row r="20" spans="1:11" ht="15.6">
      <c r="A20" s="4" t="s">
        <v>61</v>
      </c>
      <c r="B20" s="4" t="s">
        <v>62</v>
      </c>
      <c r="C20" s="4" t="s">
        <v>63</v>
      </c>
      <c r="D20" s="4">
        <v>150</v>
      </c>
      <c r="E20" s="4">
        <v>15</v>
      </c>
      <c r="F20" s="4" t="s">
        <v>13</v>
      </c>
      <c r="K20" s="28"/>
    </row>
    <row r="21" spans="1:11" ht="14.4">
      <c r="A21" s="5" t="s">
        <v>64</v>
      </c>
      <c r="B21" s="5" t="s">
        <v>65</v>
      </c>
      <c r="C21" s="5" t="s">
        <v>66</v>
      </c>
      <c r="D21" s="5"/>
      <c r="E21" s="5">
        <v>10</v>
      </c>
      <c r="F21" s="5" t="s">
        <v>40</v>
      </c>
    </row>
    <row r="22" spans="1:11" ht="14.4">
      <c r="A22" s="4" t="s">
        <v>67</v>
      </c>
      <c r="B22" s="4" t="s">
        <v>68</v>
      </c>
      <c r="C22" s="4" t="s">
        <v>69</v>
      </c>
      <c r="D22" s="4">
        <v>700</v>
      </c>
      <c r="E22" s="4">
        <v>50</v>
      </c>
      <c r="F22" s="4" t="s">
        <v>9</v>
      </c>
    </row>
    <row r="23" spans="1:11" ht="14.4">
      <c r="A23" s="5" t="s">
        <v>70</v>
      </c>
      <c r="B23" s="5" t="s">
        <v>71</v>
      </c>
      <c r="C23" s="5" t="s">
        <v>72</v>
      </c>
      <c r="D23" s="5">
        <v>80</v>
      </c>
      <c r="E23" s="5">
        <v>20</v>
      </c>
      <c r="F23" s="5" t="s">
        <v>17</v>
      </c>
    </row>
    <row r="24" spans="1:11" ht="14.4">
      <c r="A24" s="4" t="s">
        <v>73</v>
      </c>
      <c r="B24" s="4" t="s">
        <v>74</v>
      </c>
      <c r="C24" s="4" t="s">
        <v>75</v>
      </c>
      <c r="D24" s="4">
        <v>150</v>
      </c>
      <c r="E24" s="4">
        <v>30</v>
      </c>
      <c r="F24" s="4"/>
    </row>
    <row r="25" spans="1:11" ht="14.4">
      <c r="A25" s="4" t="s">
        <v>76</v>
      </c>
      <c r="B25" s="4" t="s">
        <v>77</v>
      </c>
      <c r="C25" s="4" t="s">
        <v>78</v>
      </c>
      <c r="D25" s="4">
        <v>800</v>
      </c>
      <c r="E25" s="4">
        <v>45</v>
      </c>
      <c r="F25" s="4" t="s">
        <v>9</v>
      </c>
    </row>
    <row r="26" spans="1:11" ht="14.4">
      <c r="A26" s="5" t="s">
        <v>79</v>
      </c>
      <c r="B26" s="5" t="s">
        <v>62</v>
      </c>
      <c r="C26" s="5" t="s">
        <v>80</v>
      </c>
      <c r="D26" s="5"/>
      <c r="E26" s="5">
        <v>25</v>
      </c>
      <c r="F26" s="5" t="s">
        <v>13</v>
      </c>
    </row>
    <row r="27" spans="1:11" ht="14.4">
      <c r="A27" s="4" t="s">
        <v>81</v>
      </c>
      <c r="B27" s="4" t="s">
        <v>32</v>
      </c>
      <c r="C27" s="4" t="s">
        <v>82</v>
      </c>
      <c r="D27" s="4">
        <v>400</v>
      </c>
      <c r="E27" s="4">
        <v>40</v>
      </c>
      <c r="F27" s="4" t="s">
        <v>17</v>
      </c>
    </row>
    <row r="28" spans="1:11" ht="14.4">
      <c r="A28" s="4" t="s">
        <v>83</v>
      </c>
      <c r="B28" s="4" t="s">
        <v>84</v>
      </c>
      <c r="C28" s="4" t="s">
        <v>85</v>
      </c>
      <c r="D28" s="4">
        <v>60</v>
      </c>
      <c r="E28" s="4">
        <v>30</v>
      </c>
      <c r="F28" s="4" t="s">
        <v>13</v>
      </c>
    </row>
    <row r="29" spans="1:11" ht="14.4">
      <c r="A29" s="5" t="s">
        <v>86</v>
      </c>
      <c r="B29" s="5" t="s">
        <v>87</v>
      </c>
      <c r="C29" s="5" t="s">
        <v>88</v>
      </c>
      <c r="D29" s="5">
        <v>40</v>
      </c>
      <c r="E29" s="5">
        <v>10</v>
      </c>
      <c r="F29" s="5" t="s">
        <v>17</v>
      </c>
    </row>
    <row r="30" spans="1:11" ht="14.4">
      <c r="A30" s="4" t="s">
        <v>89</v>
      </c>
      <c r="B30" s="4" t="s">
        <v>74</v>
      </c>
      <c r="C30" s="4" t="s">
        <v>90</v>
      </c>
      <c r="D30" s="4">
        <v>130</v>
      </c>
      <c r="E30" s="4">
        <v>5</v>
      </c>
      <c r="F30" s="4" t="s">
        <v>9</v>
      </c>
    </row>
    <row r="31" spans="1:11" ht="14.4">
      <c r="A31" s="5" t="s">
        <v>91</v>
      </c>
      <c r="B31" s="5" t="s">
        <v>92</v>
      </c>
      <c r="C31" s="5" t="s">
        <v>93</v>
      </c>
      <c r="D31" s="5">
        <v>50</v>
      </c>
      <c r="E31" s="5">
        <v>50</v>
      </c>
      <c r="F31" s="5" t="s">
        <v>13</v>
      </c>
    </row>
    <row r="32" spans="1:11" ht="14.4">
      <c r="A32" s="5" t="s">
        <v>94</v>
      </c>
      <c r="B32" s="5" t="s">
        <v>95</v>
      </c>
      <c r="C32" s="5" t="s">
        <v>96</v>
      </c>
      <c r="D32" s="5">
        <v>100</v>
      </c>
      <c r="E32" s="5">
        <v>20</v>
      </c>
      <c r="F32" s="5" t="s">
        <v>56</v>
      </c>
    </row>
  </sheetData>
  <conditionalFormatting sqref="D2">
    <cfRule type="cellIs" dxfId="10" priority="11" operator="greaterThan">
      <formula>1000</formula>
    </cfRule>
  </conditionalFormatting>
  <conditionalFormatting sqref="D5">
    <cfRule type="cellIs" dxfId="9" priority="9" operator="greaterThan">
      <formula>900</formula>
    </cfRule>
  </conditionalFormatting>
  <conditionalFormatting sqref="D22">
    <cfRule type="cellIs" dxfId="8" priority="4" operator="greaterThan">
      <formula>700</formula>
    </cfRule>
  </conditionalFormatting>
  <conditionalFormatting sqref="F2">
    <cfRule type="cellIs" dxfId="7" priority="10" operator="greaterThan">
      <formula>$D$2</formula>
    </cfRule>
  </conditionalFormatting>
  <conditionalFormatting sqref="F5">
    <cfRule type="cellIs" dxfId="6" priority="8" operator="greaterThan">
      <formula>$D$5</formula>
    </cfRule>
  </conditionalFormatting>
  <conditionalFormatting sqref="F10">
    <cfRule type="cellIs" dxfId="5" priority="7" operator="greaterThan">
      <formula>$D$5</formula>
    </cfRule>
  </conditionalFormatting>
  <conditionalFormatting sqref="F12">
    <cfRule type="cellIs" dxfId="4" priority="6" operator="greaterThan">
      <formula>$D$5</formula>
    </cfRule>
  </conditionalFormatting>
  <conditionalFormatting sqref="F19">
    <cfRule type="cellIs" dxfId="3" priority="5" operator="greaterThan">
      <formula>$D$5</formula>
    </cfRule>
  </conditionalFormatting>
  <conditionalFormatting sqref="F22">
    <cfRule type="cellIs" dxfId="2" priority="3" operator="greaterThan">
      <formula>$D$22</formula>
    </cfRule>
  </conditionalFormatting>
  <conditionalFormatting sqref="F25">
    <cfRule type="cellIs" dxfId="1" priority="2" operator="greaterThan">
      <formula>$D$25</formula>
    </cfRule>
  </conditionalFormatting>
  <conditionalFormatting sqref="F30">
    <cfRule type="cellIs" dxfId="0" priority="1" operator="greaterThan">
      <formula>$D$30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Correcting Inconsistent Data</vt:lpstr>
      <vt:lpstr>Removing Duplicates</vt:lpstr>
      <vt:lpstr>Splitting and Merging Data</vt:lpstr>
      <vt:lpstr>Number Formatting</vt:lpstr>
      <vt:lpstr>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 R</cp:lastModifiedBy>
  <dcterms:created xsi:type="dcterms:W3CDTF">2026-07-23T14:43:37Z</dcterms:created>
  <dcterms:modified xsi:type="dcterms:W3CDTF">2026-10-02T11:36:09Z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